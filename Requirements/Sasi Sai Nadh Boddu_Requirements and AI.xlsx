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261b6866525456c" /></Relationships>
</file>

<file path=xl/workbook.xml><?xml version="1.0" encoding="utf-8"?>
<x:workbook xmlns:x="http://schemas.openxmlformats.org/spreadsheetml/2006/main">
  <x:sheets>
    <x:sheet xmlns:r="http://schemas.openxmlformats.org/officeDocument/2006/relationships" name="1. Input Document" sheetId="1" r:id="R1be0389306c645e3"/>
    <x:sheet xmlns:r="http://schemas.openxmlformats.org/officeDocument/2006/relationships" name="2. AI Tool &amp; Prompt" sheetId="2" r:id="Re304ad89067147bc"/>
    <x:sheet xmlns:r="http://schemas.openxmlformats.org/officeDocument/2006/relationships" name="3. Accepted Requirements" sheetId="3" r:id="R11aa7262669b4374"/>
    <x:sheet xmlns:r="http://schemas.openxmlformats.org/officeDocument/2006/relationships" name="4. Final Numbered List" sheetId="4" r:id="Rbbb5456556724471"/>
    <x:sheet xmlns:r="http://schemas.openxmlformats.org/officeDocument/2006/relationships" name="5. False Negatives" sheetId="5" r:id="R26a9fd46fe294af6"/>
    <x:sheet xmlns:r="http://schemas.openxmlformats.org/officeDocument/2006/relationships" name="6. Validation Summary" sheetId="6" r:id="Rce3c3b93221340b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
  </x:numFmts>
  <x:fonts count="6">
    <x:font>
      <x:sz val="11"/>
      <x:color theme="1"/>
      <x:name val="Calibri"/>
      <x:family val="2"/>
      <x:scheme val="minor"/>
    </x:font>
    <x:font>
      <x:b/>
      <x:sz val="14"/>
      <x:color rgb="00FFFFFF"/>
    </x:font>
    <x:font>
      <x:b/>
      <x:sz val="11"/>
      <x:color rgb="00FFFFFF"/>
    </x:font>
    <x:font>
      <x:b/>
    </x:font>
    <x:font>
      <x:b/>
      <x:sz val="12"/>
      <x:color rgb="00FFFFFF"/>
    </x:font>
    <x:font>
      <x:b/>
      <x:color rgb="00FFFFFF"/>
    </x:font>
  </x:fonts>
  <x:fills count="6">
    <x:fill>
      <x:patternFill patternType="none"/>
    </x:fill>
    <x:fill>
      <x:patternFill patternType="gray125"/>
    </x:fill>
    <x:fill>
      <x:patternFill patternType="solid">
        <x:fgColor rgb="001F4E78"/>
      </x:patternFill>
    </x:fill>
    <x:fill>
      <x:patternFill patternType="solid">
        <x:fgColor rgb="00DCE6F1"/>
      </x:patternFill>
    </x:fill>
    <x:fill>
      <x:patternFill patternType="solid">
        <x:fgColor rgb="00EAF4E2"/>
      </x:patternFill>
    </x:fill>
    <x:fill>
      <x:patternFill patternType="solid">
        <x:fgColor rgb="00E2F0F9"/>
      </x:patternFill>
    </x:fill>
  </x:fills>
  <x:borders count="5">
    <x:border>
      <x:left/>
      <x:right/>
      <x:top/>
      <x:bottom/>
      <x:diagonal/>
    </x:border>
    <x:border>
      <x:left style="thin">
        <x:color rgb="00BFBFBF"/>
      </x:left>
      <x:right style="thin">
        <x:color rgb="00BFBFBF"/>
      </x:right>
      <x:top style="thin">
        <x:color rgb="00BFBFBF"/>
      </x:top>
      <x:bottom style="thin">
        <x:color rgb="00BFBFBF"/>
      </x:bottom>
    </x:border>
    <x:border>
      <x:left/>
      <x:right/>
      <x:top style="thin">
        <x:color rgb="00BFBFBF"/>
      </x:top>
      <x:bottom/>
      <x:diagonal/>
    </x:border>
    <x:border>
      <x:left/>
      <x:right style="thin">
        <x:color rgb="00BFBFBF"/>
      </x:right>
      <x:top style="thin">
        <x:color rgb="00BFBFBF"/>
      </x:top>
      <x:bottom/>
      <x:diagonal/>
    </x:border>
    <x:border>
      <x:left/>
      <x:right style="thin">
        <x:color rgb="00BFBFBF"/>
      </x:right>
      <x:top style="thin">
        <x:color rgb="00BFBFBF"/>
      </x:top>
      <x:bottom style="thin">
        <x:color rgb="00BFBFBF"/>
      </x:bottom>
      <x:diagonal/>
    </x:border>
  </x:borders>
  <x:cellStyleXfs count="1">
    <x:xf numFmtId="0" fontId="0" fillId="0" borderId="0"/>
  </x:cellStyleXfs>
  <x:cellXfs count="17">
    <x:xf numFmtId="0" fontId="0" fillId="0" borderId="0" xfId="0"/>
    <x:xf numFmtId="0" fontId="1" fillId="2" borderId="0" xfId="0" applyAlignment="1">
      <x:alignment wrapText="1"/>
    </x:xf>
    <x:xf numFmtId="0" fontId="2" fillId="2" borderId="0" xfId="0" applyAlignment="1">
      <x:alignment wrapText="1"/>
    </x:xf>
    <x:xf numFmtId="0" fontId="0" fillId="0" borderId="0" xfId="0" applyAlignment="1">
      <x:alignment vertical="top" wrapText="1"/>
    </x:xf>
    <x:xf numFmtId="0" fontId="3" fillId="3" borderId="0" xfId="0" applyAlignment="1">
      <x:alignment vertical="top" wrapText="1"/>
    </x:xf>
    <x:xf numFmtId="0" fontId="0" fillId="0" borderId="0" xfId="0" applyAlignment="1">
      <x:alignment wrapText="1"/>
    </x:xf>
    <x:xf numFmtId="0" fontId="1" fillId="2" borderId="0" xfId="0" applyAlignment="1">
      <x:alignment vertical="top" wrapText="1"/>
    </x:xf>
    <x:xf numFmtId="0" fontId="4" fillId="2" borderId="0" xfId="0" applyAlignment="1">
      <x:alignment vertical="top" wrapText="1"/>
    </x:xf>
    <x:xf numFmtId="0" fontId="5" fillId="2" borderId="1" xfId="0" applyAlignment="1">
      <x:alignment horizontal="center" vertical="center" wrapText="1"/>
    </x:xf>
    <x:xf numFmtId="0" fontId="0" fillId="0" borderId="1" xfId="0" applyAlignment="1">
      <x:alignment vertical="top" wrapText="1"/>
    </x:xf>
    <x:xf numFmtId="0" fontId="0" fillId="4" borderId="1" xfId="0" applyAlignment="1">
      <x:alignment vertical="top" wrapText="1"/>
    </x:xf>
    <x:xf numFmtId="0" fontId="0" fillId="5" borderId="1" xfId="0" applyAlignment="1">
      <x:alignment vertical="top" wrapText="1"/>
    </x:xf>
    <x:xf numFmtId="164" fontId="0" fillId="0" borderId="1" xfId="0" applyAlignment="1">
      <x:alignment vertical="top" wrapText="1"/>
    </x:xf>
    <x:xf numFmtId="0" fontId="3" fillId="3" borderId="1" xfId="0" applyAlignment="1">
      <x:alignment vertical="top" wrapText="1"/>
    </x:xf>
    <x:xf numFmtId="0" fontId="0" fillId="0" borderId="4" xfId="0"/>
    <x:xf numFmtId="0" fontId="5" fillId="2" borderId="0" xfId="0" applyAlignment="1">
      <x:alignment horizontal="center" vertical="center" wrapText="1"/>
    </x:xf>
    <x:xf numFmtId="0" fontId="1" fillId="2" borderId="0" xfId="0"/>
  </x:cellXfs>
  <x:cellStyles count="1">
    <x:cellStyle name="Normal" xfId="0"/>
  </x:cellStyles>
  <x:dxfs count="5">
    <x:dxf>
      <x:fill>
        <x:patternFill>
          <x:bgColor rgb="00E2F0D9"/>
        </x:patternFill>
      </x:fill>
    </x:dxf>
    <x:dxf>
      <x:fill>
        <x:patternFill>
          <x:bgColor rgb="00FCE4D6"/>
        </x:patternFill>
      </x:fill>
    </x:dxf>
    <x:dxf>
      <x:fill>
        <x:patternFill>
          <x:bgColor rgb="00F2F2F2"/>
        </x:patternFill>
      </x:fill>
    </x:dxf>
    <x:dxf>
      <x:fill>
        <x:patternFill>
          <x:bgColor rgb="00FDE9D9"/>
        </x:patternFill>
      </x:fill>
    </x:dxf>
    <x:dxf>
      <x:fill>
        <x:patternFill>
          <x:bgColor rgb="00FFF2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28590ef52e0426c" /><Relationship Type="http://schemas.openxmlformats.org/officeDocument/2006/relationships/theme" Target="/xl/theme/theme1.xml" Id="Rc7a4ae9465fa4277" /><Relationship Type="http://schemas.openxmlformats.org/officeDocument/2006/relationships/sharedStrings" Target="/xl/sharedStrings.xml" Id="R07779dc546804ba7" /><Relationship Type="http://schemas.openxmlformats.org/officeDocument/2006/relationships/worksheet" Target="/xl/worksheets/sheet1.xml" Id="R1be0389306c645e3" /><Relationship Type="http://schemas.openxmlformats.org/officeDocument/2006/relationships/worksheet" Target="/xl/worksheets/sheet2.xml" Id="Re304ad89067147bc" /><Relationship Type="http://schemas.openxmlformats.org/officeDocument/2006/relationships/worksheet" Target="/xl/worksheets/sheet3.xml" Id="R11aa7262669b4374" /><Relationship Type="http://schemas.openxmlformats.org/officeDocument/2006/relationships/worksheet" Target="/xl/worksheets/sheet4.xml" Id="Rbbb5456556724471" /><Relationship Type="http://schemas.openxmlformats.org/officeDocument/2006/relationships/worksheet" Target="/xl/worksheets/sheet5.xml" Id="R26a9fd46fe294af6" /><Relationship Type="http://schemas.openxmlformats.org/officeDocument/2006/relationships/worksheet" Target="/xl/worksheets/sheet6.xml" Id="Rce3c3b93221340b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45" customWidth="1"/>
  </x:cols>
  <x:sheetData>
    <x:row r="1">
      <x:c r="A1" s="1" t="inlineStr">
        <x:is>
          <x:t xml:space="preserve">SCFMS — Smart Campus Facility Management System</x:t>
        </x:is>
      </x:c>
    </x:row>
    <x:row r="2">
      <x:c r="A2" s="2" t="inlineStr">
        <x:is>
          <x:t xml:space="preserve">Unstructured Stakeholder Narrative (Input Document for Requirements Extraction)</x:t>
        </x:is>
      </x:c>
    </x:row>
    <x:row r="4" ht="220" customHeight="1">
      <x:c r="A4" s="3" t="inlineStr">
        <x:is>
          <x:t xml:space="preserve">Our university needs a better way to manage campus facilities. Right now, students have no centralized system to find and book study rooms or labs — they either walk around campus hoping to find an empty room or rely on outdated paper sign-up sheets. We want a Smart Campus Facility Management System (SCFMS) that solves this.
Students should be able to log in securely using their university credentials. The system needs to hash passwords — we're thinking SHA-256 — so credentials are never stored in plain text. Once logged in, students can search for available rooms by specifying a date, time slot, and minimum seating capacity. The search should return real-time availability so nobody shows up to a room that's already taken.
Booking a room should be a simple guided process — maybe three steps — with built-in conflict prevention so two people can't book the same room at the same time. After booking, students need to physically check in when they arrive; a one-click check-in button should update the room status to "Occupied" immediately. If a student doesn't check in within 15 minutes of their reservation start time, the booking should be automatically released.
We also need a maintenance reporting feature. Students should be able to submit maintenance tickets by selecting the room and describing the issue. Each ticket should have a status lifecycle — Open, then In Progress, then Resolved — and students should be able to track their ticket status with a visible timeline showing the history.
The system should handle at least 15 campus rooms and support around 200 concurrent users without noticeable lag. The web interface must be responsive and work on both desktop and mobile browsers. We'd like the whole system built using Object-Oriented Design principles with a BCE (Boundary-Control-Entity) architecture pattern. The platform should be available 99.5% of the time during the academic semester.</x:t>
        </x:is>
      </x:c>
    </x:row>
    <x:row r="5">
      <x:c r="A5" s="4" t="inlineStr">
        <x:is>
          <x:t xml:space="preserve">Paragraph reference guide</x:t>
        </x:is>
      </x:c>
    </x:row>
    <x:row r="6" ht="38" customHeight="1">
      <x:c r="A6" s="5" t="inlineStr">
        <x:is>
          <x:t xml:space="preserve">¶1 = centralized facility booking context; ¶2 = login/security/search; ¶3 = booking/check-in; ¶4 = maintenance tickets; ¶5 = capacity, responsiveness, architecture, availability.</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8" customWidth="1"/>
    <x:col min="2" max="2" width="110" customWidth="1"/>
  </x:cols>
  <x:sheetData>
    <x:row r="1">
      <x:c r="A1" s="6" t="inlineStr">
        <x:is>
          <x:t xml:space="preserve">Generative AI Configuration</x:t>
        </x:is>
      </x:c>
    </x:row>
    <x:row r="3">
      <x:c r="A3" s="4" t="inlineStr">
        <x:is>
          <x:t xml:space="preserve">AI Tool Used</x:t>
        </x:is>
      </x:c>
      <x:c r="B3" s="5" t="inlineStr">
        <x:is>
          <x:t xml:space="preserve">OpenAI GPT-5.2 Thinking (via ChatGPT)</x:t>
        </x:is>
      </x:c>
    </x:row>
    <x:row r="4">
      <x:c r="A4" s="4" t="inlineStr">
        <x:is>
          <x:t xml:space="preserve">Temperature</x:t>
        </x:is>
      </x:c>
      <x:c r="B4" s="5" t="inlineStr">
        <x:is>
          <x:t xml:space="preserve">Default / not user-configured in this workflow</x:t>
        </x:is>
      </x:c>
    </x:row>
    <x:row r="5">
      <x:c r="A5" s="4" t="inlineStr">
        <x:is>
          <x:t xml:space="preserve">Top-p</x:t>
        </x:is>
      </x:c>
      <x:c r="B5" s="5" t="inlineStr">
        <x:is>
          <x:t xml:space="preserve">Default / not user-configured in this workflow</x:t>
        </x:is>
      </x:c>
    </x:row>
    <x:row r="6">
      <x:c r="A6" s="4" t="inlineStr">
        <x:is>
          <x:t xml:space="preserve">Max output tokens</x:t>
        </x:is>
      </x:c>
      <x:c r="B6" s="5" t="inlineStr">
        <x:is>
          <x:t xml:space="preserve">Default / not user-configured in this workflow</x:t>
        </x:is>
      </x:c>
    </x:row>
    <x:row r="7">
      <x:c r="A7" s="4" t="inlineStr">
        <x:is>
          <x:t xml:space="preserve">Other settings</x:t>
        </x:is>
      </x:c>
      <x:c r="B7" s="5" t="inlineStr">
        <x:is>
          <x:t xml:space="preserve">No web browsing used; analysis was based only on the uploaded workbook and its embedded source text.</x:t>
        </x:is>
      </x:c>
    </x:row>
    <x:row r="9">
      <x:c r="A9" s="7" t="inlineStr">
        <x:is>
          <x:t xml:space="preserve">Prompt Used</x:t>
        </x:is>
      </x:c>
    </x:row>
    <x:row r="10" ht="420" customHeight="1">
      <x:c r="A10" s="3" t="inlineStr">
        <x:is>
          <x:t xml:space="preserve">You are a senior requirements engineer.
Task:
Analyze the stakeholder narrative below and extract software requirements with strict traceability.
Instructions:
1) Identify all explicit functional requirements (FR) and non-functional requirements (NFR).
2) Preserve provenance by quoting the exact source text that supports each requirement.
3) Rewrite each accepted requirement as a standalone “shall” statement.
4) Do not invent metrics, actors, workflows, or constraints that are not supported by the text.
5) If the source uses tentative wording (for example “maybe” or “we’re thinking”), keep the requirement at the accepted intent level and note the negotiability in validation.
6) Validate every generated requirement against:
   - SMART: Specific, Measurable, Achievable, Relevant, Time-bound
   - VAN: Valuable, Achievable, Negotiable
   - C3F: Clear, Concise, Consistent, Feasible
7) For every generated requirement, classify the extraction result as:
   - True Positive if directly supported by the source text
   - False Positive if generated without sufficient textual support
   - False Negative only for requirements that were missed but are reasonably implied; list those separately.
8) Return the final accepted requirements in a table with these columns:
   - Requirement ID
   - Requirement Description
   - Type
   - Source Reference
   - Original Text
   - Final Requirement Statement
   - SMART pass/fail columns
   - VAN pass/fail columns
   - C3F pass/fail columns
   - Validation Status
   - True Positive
   - False Positive
   - False Negative
   - Review Notes
Stakeholder Narrative:
[PASTE INPUT TEXT HERE]</x:t>
        </x:is>
      </x:c>
    </x:row>
    <x:row r="11"/>
    <x:row r="12"/>
    <x:row r="13"/>
    <x:row r="14"/>
    <x:row r="15"/>
    <x:row r="16"/>
    <x:row r="17"/>
    <x:row r="18"/>
    <x:row r="19"/>
    <x:row r="20"/>
    <x:row r="21"/>
    <x:row r="22"/>
    <x:row r="23"/>
    <x:row r="24"/>
    <x:row r="25"/>
    <x:row r="26"/>
    <x:row r="27"/>
    <x:row r="28"/>
    <x:row r="29"/>
    <x:row r="30"/>
    <x:row r="31"/>
    <x:row r="32"/>
    <x:row r="33"/>
  </x:sheetData>
  <x:mergeCells>
    <x:mergeCell ref="A9:B9"/>
    <x:mergeCell ref="A10:B33"/>
    <x:mergeCell ref="A1:B1"/>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15" customWidth="1"/>
    <x:col min="2" max="2" width="28" customWidth="1"/>
    <x:col min="3" max="3" width="14" customWidth="1"/>
    <x:col min="4" max="4" width="16" customWidth="1"/>
    <x:col min="5" max="5" width="55" customWidth="1"/>
    <x:col min="6" max="6" width="66" customWidth="1"/>
    <x:col min="7" max="7" width="12" customWidth="1"/>
    <x:col min="8" max="8" width="13" customWidth="1"/>
    <x:col min="9" max="9" width="13" customWidth="1"/>
    <x:col min="10" max="10" width="12" customWidth="1"/>
    <x:col min="11" max="11" width="13" customWidth="1"/>
    <x:col min="12" max="12" width="12" customWidth="1"/>
    <x:col min="13" max="13" width="13" customWidth="1"/>
    <x:col min="14" max="14" width="13" customWidth="1"/>
    <x:col min="15" max="15" width="11" customWidth="1"/>
    <x:col min="16" max="16" width="12" customWidth="1"/>
    <x:col min="17" max="17" width="13" customWidth="1"/>
    <x:col min="18" max="18" width="11" customWidth="1"/>
    <x:col min="19" max="19" width="16" customWidth="1"/>
    <x:col min="20" max="20" width="12" customWidth="1"/>
    <x:col min="21" max="21" width="13" customWidth="1"/>
    <x:col min="22" max="22" width="13" customWidth="1"/>
    <x:col min="23" max="23" width="42" customWidth="1"/>
    <x:col min="24" max="24" width="13" hidden="1" customWidth="1"/>
  </x:cols>
  <x:sheetData>
    <x:row r="1">
      <x:c r="A1" s="8" t="inlineStr">
        <x:is>
          <x:t xml:space="preserve">Requirement ID</x:t>
        </x:is>
      </x:c>
      <x:c r="B1" s="8" t="inlineStr">
        <x:is>
          <x:t xml:space="preserve">Requirement Description</x:t>
        </x:is>
      </x:c>
      <x:c r="C1" s="8" t="inlineStr">
        <x:is>
          <x:t xml:space="preserve">Type</x:t>
        </x:is>
      </x:c>
      <x:c r="D1" s="8" t="inlineStr">
        <x:is>
          <x:t xml:space="preserve">Source Reference</x:t>
        </x:is>
      </x:c>
      <x:c r="E1" s="8" t="inlineStr">
        <x:is>
          <x:t xml:space="preserve">Original Text</x:t>
        </x:is>
      </x:c>
      <x:c r="F1" s="8" t="inlineStr">
        <x:is>
          <x:t xml:space="preserve">Final Requirement Statement</x:t>
        </x:is>
      </x:c>
      <x:c r="G1" s="8" t="inlineStr">
        <x:is>
          <x:t xml:space="preserve">SMART-Specific</x:t>
        </x:is>
      </x:c>
      <x:c r="H1" s="8" t="inlineStr">
        <x:is>
          <x:t xml:space="preserve">SMART-Measurable</x:t>
        </x:is>
      </x:c>
      <x:c r="I1" s="8" t="inlineStr">
        <x:is>
          <x:t xml:space="preserve">SMART-Achievable</x:t>
        </x:is>
      </x:c>
      <x:c r="J1" s="8" t="inlineStr">
        <x:is>
          <x:t xml:space="preserve">SMART-Relevant</x:t>
        </x:is>
      </x:c>
      <x:c r="K1" s="8" t="inlineStr">
        <x:is>
          <x:t xml:space="preserve">SMART-Time-bound</x:t>
        </x:is>
      </x:c>
      <x:c r="L1" s="8" t="inlineStr">
        <x:is>
          <x:t xml:space="preserve">VAN-Valuable</x:t>
        </x:is>
      </x:c>
      <x:c r="M1" s="8" t="inlineStr">
        <x:is>
          <x:t xml:space="preserve">VAN-Achievable</x:t>
        </x:is>
      </x:c>
      <x:c r="N1" s="8" t="inlineStr">
        <x:is>
          <x:t xml:space="preserve">VAN-Negotiable</x:t>
        </x:is>
      </x:c>
      <x:c r="O1" s="8" t="inlineStr">
        <x:is>
          <x:t xml:space="preserve">C3F-Clear</x:t>
        </x:is>
      </x:c>
      <x:c r="P1" s="8" t="inlineStr">
        <x:is>
          <x:t xml:space="preserve">C3F-Concise</x:t>
        </x:is>
      </x:c>
      <x:c r="Q1" s="8" t="inlineStr">
        <x:is>
          <x:t xml:space="preserve">C3F-Consistent</x:t>
        </x:is>
      </x:c>
      <x:c r="R1" s="8" t="inlineStr">
        <x:is>
          <x:t xml:space="preserve">C3F-Feasible</x:t>
        </x:is>
      </x:c>
      <x:c r="S1" s="8" t="inlineStr">
        <x:is>
          <x:t xml:space="preserve">Validation Status</x:t>
        </x:is>
      </x:c>
      <x:c r="T1" s="8" t="inlineStr">
        <x:is>
          <x:t xml:space="preserve">True Positive</x:t>
        </x:is>
      </x:c>
      <x:c r="U1" s="8" t="inlineStr">
        <x:is>
          <x:t xml:space="preserve">False Positive</x:t>
        </x:is>
      </x:c>
      <x:c r="V1" s="8" t="inlineStr">
        <x:is>
          <x:t xml:space="preserve">False Negative</x:t>
        </x:is>
      </x:c>
      <x:c r="W1" s="8" t="inlineStr">
        <x:is>
          <x:t xml:space="preserve">Review Notes</x:t>
        </x:is>
      </x:c>
      <x:c r="X1" s="15" t="inlineStr">
        <x:is>
          <x:t xml:space="preserve">Helper - Quality Review</x:t>
        </x:is>
      </x:c>
    </x:row>
    <x:row r="2">
      <x:c r="A2" s="9" t="inlineStr">
        <x:is>
          <x:t xml:space="preserve">FR-001</x:t>
        </x:is>
      </x:c>
      <x:c r="B2" s="9" t="inlineStr">
        <x:is>
          <x:t xml:space="preserve">Centralized room/lab discovery and booking</x:t>
        </x:is>
      </x:c>
      <x:c r="C2" s="10" t="inlineStr">
        <x:is>
          <x:t xml:space="preserve">Functional</x:t>
        </x:is>
      </x:c>
      <x:c r="D2" s="9" t="inlineStr">
        <x:is>
          <x:t xml:space="preserve">Input ¶1</x:t>
        </x:is>
      </x:c>
      <x:c r="E2" s="9" t="inlineStr">
        <x:is>
          <x:t xml:space="preserve">students have no centralized system to find and book study rooms or labs</x:t>
        </x:is>
      </x:c>
      <x:c r="F2" s="9" t="inlineStr">
        <x:is>
          <x:t xml:space="preserve">The system shall provide a centralized system for students to find and book study rooms or labs.</x:t>
        </x:is>
      </x:c>
      <x:c r="G2" s="9" t="inlineStr">
        <x:is>
          <x:t xml:space="preserve">Pass</x:t>
        </x:is>
      </x:c>
      <x:c r="H2" s="9" t="inlineStr">
        <x:is>
          <x:t xml:space="preserve">Pass</x:t>
        </x:is>
      </x:c>
      <x:c r="I2" s="9" t="inlineStr">
        <x:is>
          <x:t xml:space="preserve">Pass</x:t>
        </x:is>
      </x:c>
      <x:c r="J2" s="9" t="inlineStr">
        <x:is>
          <x:t xml:space="preserve">Pass</x:t>
        </x:is>
      </x:c>
      <x:c r="K2" s="9" t="inlineStr">
        <x:is>
          <x:t xml:space="preserve">Fail</x:t>
        </x:is>
      </x:c>
      <x:c r="L2" s="9" t="inlineStr">
        <x:is>
          <x:t xml:space="preserve">Pass</x:t>
        </x:is>
      </x:c>
      <x:c r="M2" s="9" t="inlineStr">
        <x:is>
          <x:t xml:space="preserve">Pass</x:t>
        </x:is>
      </x:c>
      <x:c r="N2" s="9" t="inlineStr">
        <x:is>
          <x:t xml:space="preserve">Pass</x:t>
        </x:is>
      </x:c>
      <x:c r="O2" s="9" t="inlineStr">
        <x:is>
          <x:t xml:space="preserve">Pass</x:t>
        </x:is>
      </x:c>
      <x:c r="P2" s="9" t="inlineStr">
        <x:is>
          <x:t xml:space="preserve">Pass</x:t>
        </x:is>
      </x:c>
      <x:c r="Q2" s="9" t="inlineStr">
        <x:is>
          <x:t xml:space="preserve">Pass</x:t>
        </x:is>
      </x:c>
      <x:c r="R2" s="9" t="inlineStr">
        <x:is>
          <x:t xml:space="preserve">Pass</x:t>
        </x:is>
      </x:c>
      <x:c r="S2" s="9" t="inlineStr">
        <x:is>
          <x:t xml:space="preserve">True Positive</x:t>
        </x:is>
      </x:c>
      <x:c r="T2" s="9" t="inlineStr">
        <x:is>
          <x:t xml:space="preserve">Yes</x:t>
        </x:is>
      </x:c>
      <x:c r="U2" s="9" t="inlineStr">
        <x:is>
          <x:t xml:space="preserve">No</x:t>
        </x:is>
      </x:c>
      <x:c r="V2" s="9" t="inlineStr">
        <x:is>
          <x:t xml:space="preserve">No</x:t>
        </x:is>
      </x:c>
      <x:c r="W2" s="9" t="inlineStr">
        <x:is>
          <x:t xml:space="preserve">Directly stated problem/goal in paragraph 1.</x:t>
        </x:is>
      </x:c>
      <x:c r="X2" s="3" t="str">
        <x:f>IF(COUNTIF(G2:R2,"Fail")&gt;0,"Needs Review","Pass")</x:f>
        <x:v>Needs Review</x:v>
      </x:c>
    </x:row>
    <x:row r="3">
      <x:c r="A3" s="9" t="inlineStr">
        <x:is>
          <x:t xml:space="preserve">FR-002</x:t>
        </x:is>
      </x:c>
      <x:c r="B3" s="9" t="inlineStr">
        <x:is>
          <x:t xml:space="preserve">University credential authentication</x:t>
        </x:is>
      </x:c>
      <x:c r="C3" s="10" t="inlineStr">
        <x:is>
          <x:t xml:space="preserve">Functional</x:t>
        </x:is>
      </x:c>
      <x:c r="D3" s="9" t="inlineStr">
        <x:is>
          <x:t xml:space="preserve">Input ¶2</x:t>
        </x:is>
      </x:c>
      <x:c r="E3" s="9" t="inlineStr">
        <x:is>
          <x:t xml:space="preserve">Students should be able to log in securely using their university credentials.</x:t>
        </x:is>
      </x:c>
      <x:c r="F3" s="9" t="inlineStr">
        <x:is>
          <x:t xml:space="preserve">The system shall authenticate students using their university credentials through a secure login process.</x:t>
        </x:is>
      </x:c>
      <x:c r="G3" s="9" t="inlineStr">
        <x:is>
          <x:t xml:space="preserve">Pass</x:t>
        </x:is>
      </x:c>
      <x:c r="H3" s="9" t="inlineStr">
        <x:is>
          <x:t xml:space="preserve">Pass</x:t>
        </x:is>
      </x:c>
      <x:c r="I3" s="9" t="inlineStr">
        <x:is>
          <x:t xml:space="preserve">Pass</x:t>
        </x:is>
      </x:c>
      <x:c r="J3" s="9" t="inlineStr">
        <x:is>
          <x:t xml:space="preserve">Pass</x:t>
        </x:is>
      </x:c>
      <x:c r="K3" s="9" t="inlineStr">
        <x:is>
          <x:t xml:space="preserve">Fail</x:t>
        </x:is>
      </x:c>
      <x:c r="L3" s="9" t="inlineStr">
        <x:is>
          <x:t xml:space="preserve">Pass</x:t>
        </x:is>
      </x:c>
      <x:c r="M3" s="9" t="inlineStr">
        <x:is>
          <x:t xml:space="preserve">Pass</x:t>
        </x:is>
      </x:c>
      <x:c r="N3" s="9" t="inlineStr">
        <x:is>
          <x:t xml:space="preserve">Pass</x:t>
        </x:is>
      </x:c>
      <x:c r="O3" s="9" t="inlineStr">
        <x:is>
          <x:t xml:space="preserve">Pass</x:t>
        </x:is>
      </x:c>
      <x:c r="P3" s="9" t="inlineStr">
        <x:is>
          <x:t xml:space="preserve">Pass</x:t>
        </x:is>
      </x:c>
      <x:c r="Q3" s="9" t="inlineStr">
        <x:is>
          <x:t xml:space="preserve">Pass</x:t>
        </x:is>
      </x:c>
      <x:c r="R3" s="9" t="inlineStr">
        <x:is>
          <x:t xml:space="preserve">Pass</x:t>
        </x:is>
      </x:c>
      <x:c r="S3" s="9" t="inlineStr">
        <x:is>
          <x:t xml:space="preserve">True Positive</x:t>
        </x:is>
      </x:c>
      <x:c r="T3" s="9" t="inlineStr">
        <x:is>
          <x:t xml:space="preserve">Yes</x:t>
        </x:is>
      </x:c>
      <x:c r="U3" s="9" t="inlineStr">
        <x:is>
          <x:t xml:space="preserve">No</x:t>
        </x:is>
      </x:c>
      <x:c r="V3" s="9" t="inlineStr">
        <x:is>
          <x:t xml:space="preserve">No</x:t>
        </x:is>
      </x:c>
      <x:c r="W3" s="9" t="inlineStr">
        <x:is>
          <x:t xml:space="preserve">Directly traceable to the source text.</x:t>
        </x:is>
      </x:c>
      <x:c r="X3" s="3" t="str">
        <x:f>IF(COUNTIF(G3:R3,"Fail")&gt;0,"Needs Review","Pass")</x:f>
        <x:v>Needs Review</x:v>
      </x:c>
    </x:row>
    <x:row r="4">
      <x:c r="A4" s="9" t="inlineStr">
        <x:is>
          <x:t xml:space="preserve">FR-003</x:t>
        </x:is>
      </x:c>
      <x:c r="B4" s="9" t="inlineStr">
        <x:is>
          <x:t xml:space="preserve">Password protection</x:t>
        </x:is>
      </x:c>
      <x:c r="C4" s="10" t="inlineStr">
        <x:is>
          <x:t xml:space="preserve">Functional</x:t>
        </x:is>
      </x:c>
      <x:c r="D4" s="9" t="inlineStr">
        <x:is>
          <x:t xml:space="preserve">Input ¶2</x:t>
        </x:is>
      </x:c>
      <x:c r="E4" s="9" t="inlineStr">
        <x:is>
          <x:t xml:space="preserve">The system needs to hash passwords — we're thinking SHA-256 — so credentials are never stored in plain text.</x:t>
        </x:is>
      </x:c>
      <x:c r="F4" s="9" t="inlineStr">
        <x:is>
          <x:t xml:space="preserve">The system shall hash passwords before storage and shall not store credentials in plain text.</x:t>
        </x:is>
      </x:c>
      <x:c r="G4" s="9" t="inlineStr">
        <x:is>
          <x:t xml:space="preserve">Pass</x:t>
        </x:is>
      </x:c>
      <x:c r="H4" s="9" t="inlineStr">
        <x:is>
          <x:t xml:space="preserve">Pass</x:t>
        </x:is>
      </x:c>
      <x:c r="I4" s="9" t="inlineStr">
        <x:is>
          <x:t xml:space="preserve">Pass</x:t>
        </x:is>
      </x:c>
      <x:c r="J4" s="9" t="inlineStr">
        <x:is>
          <x:t xml:space="preserve">Pass</x:t>
        </x:is>
      </x:c>
      <x:c r="K4" s="9" t="inlineStr">
        <x:is>
          <x:t xml:space="preserve">Fail</x:t>
        </x:is>
      </x:c>
      <x:c r="L4" s="9" t="inlineStr">
        <x:is>
          <x:t xml:space="preserve">Pass</x:t>
        </x:is>
      </x:c>
      <x:c r="M4" s="9" t="inlineStr">
        <x:is>
          <x:t xml:space="preserve">Pass</x:t>
        </x:is>
      </x:c>
      <x:c r="N4" s="9" t="inlineStr">
        <x:is>
          <x:t xml:space="preserve">Pass</x:t>
        </x:is>
      </x:c>
      <x:c r="O4" s="9" t="inlineStr">
        <x:is>
          <x:t xml:space="preserve">Pass</x:t>
        </x:is>
      </x:c>
      <x:c r="P4" s="9" t="inlineStr">
        <x:is>
          <x:t xml:space="preserve">Pass</x:t>
        </x:is>
      </x:c>
      <x:c r="Q4" s="9" t="inlineStr">
        <x:is>
          <x:t xml:space="preserve">Pass</x:t>
        </x:is>
      </x:c>
      <x:c r="R4" s="9" t="inlineStr">
        <x:is>
          <x:t xml:space="preserve">Pass</x:t>
        </x:is>
      </x:c>
      <x:c r="S4" s="9" t="inlineStr">
        <x:is>
          <x:t xml:space="preserve">True Positive</x:t>
        </x:is>
      </x:c>
      <x:c r="T4" s="9" t="inlineStr">
        <x:is>
          <x:t xml:space="preserve">Yes</x:t>
        </x:is>
      </x:c>
      <x:c r="U4" s="9" t="inlineStr">
        <x:is>
          <x:t xml:space="preserve">No</x:t>
        </x:is>
      </x:c>
      <x:c r="V4" s="9" t="inlineStr">
        <x:is>
          <x:t xml:space="preserve">No</x:t>
        </x:is>
      </x:c>
      <x:c r="W4" s="9" t="inlineStr">
        <x:is>
          <x:t xml:space="preserve">Retained the required security outcome without over-committing to SHA-256 as an immutable design choice.</x:t>
        </x:is>
      </x:c>
      <x:c r="X4" s="3" t="str">
        <x:f>IF(COUNTIF(G4:R4,"Fail")&gt;0,"Needs Review","Pass")</x:f>
        <x:v>Needs Review</x:v>
      </x:c>
    </x:row>
    <x:row r="5">
      <x:c r="A5" s="9" t="inlineStr">
        <x:is>
          <x:t xml:space="preserve">FR-004</x:t>
        </x:is>
      </x:c>
      <x:c r="B5" s="9" t="inlineStr">
        <x:is>
          <x:t xml:space="preserve">Room search criteria</x:t>
        </x:is>
      </x:c>
      <x:c r="C5" s="10" t="inlineStr">
        <x:is>
          <x:t xml:space="preserve">Functional</x:t>
        </x:is>
      </x:c>
      <x:c r="D5" s="9" t="inlineStr">
        <x:is>
          <x:t xml:space="preserve">Input ¶2</x:t>
        </x:is>
      </x:c>
      <x:c r="E5" s="9" t="inlineStr">
        <x:is>
          <x:t xml:space="preserve">students can search for available rooms by specifying a date, time slot, and minimum seating capacity.</x:t>
        </x:is>
      </x:c>
      <x:c r="F5" s="9" t="inlineStr">
        <x:is>
          <x:t xml:space="preserve">The system shall allow students to search for available rooms by date, time slot, and minimum seating capacity.</x:t>
        </x:is>
      </x:c>
      <x:c r="G5" s="9" t="inlineStr">
        <x:is>
          <x:t xml:space="preserve">Pass</x:t>
        </x:is>
      </x:c>
      <x:c r="H5" s="9" t="inlineStr">
        <x:is>
          <x:t xml:space="preserve">Pass</x:t>
        </x:is>
      </x:c>
      <x:c r="I5" s="9" t="inlineStr">
        <x:is>
          <x:t xml:space="preserve">Pass</x:t>
        </x:is>
      </x:c>
      <x:c r="J5" s="9" t="inlineStr">
        <x:is>
          <x:t xml:space="preserve">Pass</x:t>
        </x:is>
      </x:c>
      <x:c r="K5" s="9" t="inlineStr">
        <x:is>
          <x:t xml:space="preserve">Fail</x:t>
        </x:is>
      </x:c>
      <x:c r="L5" s="9" t="inlineStr">
        <x:is>
          <x:t xml:space="preserve">Pass</x:t>
        </x:is>
      </x:c>
      <x:c r="M5" s="9" t="inlineStr">
        <x:is>
          <x:t xml:space="preserve">Pass</x:t>
        </x:is>
      </x:c>
      <x:c r="N5" s="9" t="inlineStr">
        <x:is>
          <x:t xml:space="preserve">Pass</x:t>
        </x:is>
      </x:c>
      <x:c r="O5" s="9" t="inlineStr">
        <x:is>
          <x:t xml:space="preserve">Pass</x:t>
        </x:is>
      </x:c>
      <x:c r="P5" s="9" t="inlineStr">
        <x:is>
          <x:t xml:space="preserve">Pass</x:t>
        </x:is>
      </x:c>
      <x:c r="Q5" s="9" t="inlineStr">
        <x:is>
          <x:t xml:space="preserve">Pass</x:t>
        </x:is>
      </x:c>
      <x:c r="R5" s="9" t="inlineStr">
        <x:is>
          <x:t xml:space="preserve">Pass</x:t>
        </x:is>
      </x:c>
      <x:c r="S5" s="9" t="inlineStr">
        <x:is>
          <x:t xml:space="preserve">True Positive</x:t>
        </x:is>
      </x:c>
      <x:c r="T5" s="9" t="inlineStr">
        <x:is>
          <x:t xml:space="preserve">Yes</x:t>
        </x:is>
      </x:c>
      <x:c r="U5" s="9" t="inlineStr">
        <x:is>
          <x:t xml:space="preserve">No</x:t>
        </x:is>
      </x:c>
      <x:c r="V5" s="9" t="inlineStr">
        <x:is>
          <x:t xml:space="preserve">No</x:t>
        </x:is>
      </x:c>
      <x:c r="W5" s="9" t="inlineStr">
        <x:is>
          <x:t xml:space="preserve">Atomic and directly quoted.</x:t>
        </x:is>
      </x:c>
      <x:c r="X5" s="3" t="str">
        <x:f>IF(COUNTIF(G5:R5,"Fail")&gt;0,"Needs Review","Pass")</x:f>
        <x:v>Needs Review</x:v>
      </x:c>
    </x:row>
    <x:row r="6">
      <x:c r="A6" s="9" t="inlineStr">
        <x:is>
          <x:t xml:space="preserve">FR-005</x:t>
        </x:is>
      </x:c>
      <x:c r="B6" s="9" t="inlineStr">
        <x:is>
          <x:t xml:space="preserve">Real-time search results</x:t>
        </x:is>
      </x:c>
      <x:c r="C6" s="10" t="inlineStr">
        <x:is>
          <x:t xml:space="preserve">Functional</x:t>
        </x:is>
      </x:c>
      <x:c r="D6" s="9" t="inlineStr">
        <x:is>
          <x:t xml:space="preserve">Input ¶2</x:t>
        </x:is>
      </x:c>
      <x:c r="E6" s="9" t="inlineStr">
        <x:is>
          <x:t xml:space="preserve">The search should return real-time availability so nobody shows up to a room that's already taken.</x:t>
        </x:is>
      </x:c>
      <x:c r="F6" s="9" t="inlineStr">
        <x:is>
          <x:t xml:space="preserve">The system shall return real-time room availability in search results.</x:t>
        </x:is>
      </x:c>
      <x:c r="G6" s="9" t="inlineStr">
        <x:is>
          <x:t xml:space="preserve">Pass</x:t>
        </x:is>
      </x:c>
      <x:c r="H6" s="9" t="inlineStr">
        <x:is>
          <x:t xml:space="preserve">Pass</x:t>
        </x:is>
      </x:c>
      <x:c r="I6" s="9" t="inlineStr">
        <x:is>
          <x:t xml:space="preserve">Pass</x:t>
        </x:is>
      </x:c>
      <x:c r="J6" s="9" t="inlineStr">
        <x:is>
          <x:t xml:space="preserve">Pass</x:t>
        </x:is>
      </x:c>
      <x:c r="K6" s="9" t="inlineStr">
        <x:is>
          <x:t xml:space="preserve">Fail</x:t>
        </x:is>
      </x:c>
      <x:c r="L6" s="9" t="inlineStr">
        <x:is>
          <x:t xml:space="preserve">Pass</x:t>
        </x:is>
      </x:c>
      <x:c r="M6" s="9" t="inlineStr">
        <x:is>
          <x:t xml:space="preserve">Pass</x:t>
        </x:is>
      </x:c>
      <x:c r="N6" s="9" t="inlineStr">
        <x:is>
          <x:t xml:space="preserve">Pass</x:t>
        </x:is>
      </x:c>
      <x:c r="O6" s="9" t="inlineStr">
        <x:is>
          <x:t xml:space="preserve">Pass</x:t>
        </x:is>
      </x:c>
      <x:c r="P6" s="9" t="inlineStr">
        <x:is>
          <x:t xml:space="preserve">Pass</x:t>
        </x:is>
      </x:c>
      <x:c r="Q6" s="9" t="inlineStr">
        <x:is>
          <x:t xml:space="preserve">Pass</x:t>
        </x:is>
      </x:c>
      <x:c r="R6" s="9" t="inlineStr">
        <x:is>
          <x:t xml:space="preserve">Pass</x:t>
        </x:is>
      </x:c>
      <x:c r="S6" s="9" t="inlineStr">
        <x:is>
          <x:t xml:space="preserve">True Positive</x:t>
        </x:is>
      </x:c>
      <x:c r="T6" s="9" t="inlineStr">
        <x:is>
          <x:t xml:space="preserve">Yes</x:t>
        </x:is>
      </x:c>
      <x:c r="U6" s="9" t="inlineStr">
        <x:is>
          <x:t xml:space="preserve">No</x:t>
        </x:is>
      </x:c>
      <x:c r="V6" s="9" t="inlineStr">
        <x:is>
          <x:t xml:space="preserve">No</x:t>
        </x:is>
      </x:c>
      <x:c r="W6" s="9" t="inlineStr">
        <x:is>
          <x:t xml:space="preserve">Captures the operational result without embellishment.</x:t>
        </x:is>
      </x:c>
      <x:c r="X6" s="3" t="str">
        <x:f>IF(COUNTIF(G6:R6,"Fail")&gt;0,"Needs Review","Pass")</x:f>
        <x:v>Needs Review</x:v>
      </x:c>
    </x:row>
    <x:row r="7">
      <x:c r="A7" s="9" t="inlineStr">
        <x:is>
          <x:t xml:space="preserve">FR-006</x:t>
        </x:is>
      </x:c>
      <x:c r="B7" s="9" t="inlineStr">
        <x:is>
          <x:t xml:space="preserve">Guided booking workflow</x:t>
        </x:is>
      </x:c>
      <x:c r="C7" s="10" t="inlineStr">
        <x:is>
          <x:t xml:space="preserve">Functional</x:t>
        </x:is>
      </x:c>
      <x:c r="D7" s="9" t="inlineStr">
        <x:is>
          <x:t xml:space="preserve">Input ¶3</x:t>
        </x:is>
      </x:c>
      <x:c r="E7" s="9" t="inlineStr">
        <x:is>
          <x:t xml:space="preserve">Booking a room should be a simple guided process — maybe three steps —</x:t>
        </x:is>
      </x:c>
      <x:c r="F7" s="9" t="inlineStr">
        <x:is>
          <x:t xml:space="preserve">The system shall provide a guided workflow for booking a room.</x:t>
        </x:is>
      </x:c>
      <x:c r="G7" s="9" t="inlineStr">
        <x:is>
          <x:t xml:space="preserve">Pass</x:t>
        </x:is>
      </x:c>
      <x:c r="H7" s="9" t="inlineStr">
        <x:is>
          <x:t xml:space="preserve">Fail</x:t>
        </x:is>
      </x:c>
      <x:c r="I7" s="9" t="inlineStr">
        <x:is>
          <x:t xml:space="preserve">Pass</x:t>
        </x:is>
      </x:c>
      <x:c r="J7" s="9" t="inlineStr">
        <x:is>
          <x:t xml:space="preserve">Pass</x:t>
        </x:is>
      </x:c>
      <x:c r="K7" s="9" t="inlineStr">
        <x:is>
          <x:t xml:space="preserve">Fail</x:t>
        </x:is>
      </x:c>
      <x:c r="L7" s="9" t="inlineStr">
        <x:is>
          <x:t xml:space="preserve">Pass</x:t>
        </x:is>
      </x:c>
      <x:c r="M7" s="9" t="inlineStr">
        <x:is>
          <x:t xml:space="preserve">Pass</x:t>
        </x:is>
      </x:c>
      <x:c r="N7" s="9" t="inlineStr">
        <x:is>
          <x:t xml:space="preserve">Pass</x:t>
        </x:is>
      </x:c>
      <x:c r="O7" s="9" t="inlineStr">
        <x:is>
          <x:t xml:space="preserve">Pass</x:t>
        </x:is>
      </x:c>
      <x:c r="P7" s="9" t="inlineStr">
        <x:is>
          <x:t xml:space="preserve">Pass</x:t>
        </x:is>
      </x:c>
      <x:c r="Q7" s="9" t="inlineStr">
        <x:is>
          <x:t xml:space="preserve">Pass</x:t>
        </x:is>
      </x:c>
      <x:c r="R7" s="9" t="inlineStr">
        <x:is>
          <x:t xml:space="preserve">Pass</x:t>
        </x:is>
      </x:c>
      <x:c r="S7" s="9" t="inlineStr">
        <x:is>
          <x:t xml:space="preserve">True Positive</x:t>
        </x:is>
      </x:c>
      <x:c r="T7" s="9" t="inlineStr">
        <x:is>
          <x:t xml:space="preserve">Yes</x:t>
        </x:is>
      </x:c>
      <x:c r="U7" s="9" t="inlineStr">
        <x:is>
          <x:t xml:space="preserve">No</x:t>
        </x:is>
      </x:c>
      <x:c r="V7" s="9" t="inlineStr">
        <x:is>
          <x:t xml:space="preserve">No</x:t>
        </x:is>
      </x:c>
      <x:c r="W7" s="9" t="inlineStr">
        <x:is>
          <x:t xml:space="preserve">Accepted at a higher level because the phrase 'maybe three steps' is negotiable and not binding.</x:t>
        </x:is>
      </x:c>
      <x:c r="X7" s="3" t="str">
        <x:f>IF(COUNTIF(G7:R7,"Fail")&gt;0,"Needs Review","Pass")</x:f>
        <x:v>Needs Review</x:v>
      </x:c>
    </x:row>
    <x:row r="8">
      <x:c r="A8" s="9" t="inlineStr">
        <x:is>
          <x:t xml:space="preserve">FR-007</x:t>
        </x:is>
      </x:c>
      <x:c r="B8" s="9" t="inlineStr">
        <x:is>
          <x:t xml:space="preserve">Conflict prevention</x:t>
        </x:is>
      </x:c>
      <x:c r="C8" s="10" t="inlineStr">
        <x:is>
          <x:t xml:space="preserve">Functional</x:t>
        </x:is>
      </x:c>
      <x:c r="D8" s="9" t="inlineStr">
        <x:is>
          <x:t xml:space="preserve">Input ¶3</x:t>
        </x:is>
      </x:c>
      <x:c r="E8" s="9" t="inlineStr">
        <x:is>
          <x:t xml:space="preserve">with built-in conflict prevention so two people can't book the same room at the same time.</x:t>
        </x:is>
      </x:c>
      <x:c r="F8" s="9" t="inlineStr">
        <x:is>
          <x:t xml:space="preserve">The system shall prevent two users from booking the same room for the same time slot.</x:t>
        </x:is>
      </x:c>
      <x:c r="G8" s="9" t="inlineStr">
        <x:is>
          <x:t xml:space="preserve">Pass</x:t>
        </x:is>
      </x:c>
      <x:c r="H8" s="9" t="inlineStr">
        <x:is>
          <x:t xml:space="preserve">Pass</x:t>
        </x:is>
      </x:c>
      <x:c r="I8" s="9" t="inlineStr">
        <x:is>
          <x:t xml:space="preserve">Pass</x:t>
        </x:is>
      </x:c>
      <x:c r="J8" s="9" t="inlineStr">
        <x:is>
          <x:t xml:space="preserve">Pass</x:t>
        </x:is>
      </x:c>
      <x:c r="K8" s="9" t="inlineStr">
        <x:is>
          <x:t xml:space="preserve">Fail</x:t>
        </x:is>
      </x:c>
      <x:c r="L8" s="9" t="inlineStr">
        <x:is>
          <x:t xml:space="preserve">Pass</x:t>
        </x:is>
      </x:c>
      <x:c r="M8" s="9" t="inlineStr">
        <x:is>
          <x:t xml:space="preserve">Pass</x:t>
        </x:is>
      </x:c>
      <x:c r="N8" s="9" t="inlineStr">
        <x:is>
          <x:t xml:space="preserve">Pass</x:t>
        </x:is>
      </x:c>
      <x:c r="O8" s="9" t="inlineStr">
        <x:is>
          <x:t xml:space="preserve">Pass</x:t>
        </x:is>
      </x:c>
      <x:c r="P8" s="9" t="inlineStr">
        <x:is>
          <x:t xml:space="preserve">Pass</x:t>
        </x:is>
      </x:c>
      <x:c r="Q8" s="9" t="inlineStr">
        <x:is>
          <x:t xml:space="preserve">Pass</x:t>
        </x:is>
      </x:c>
      <x:c r="R8" s="9" t="inlineStr">
        <x:is>
          <x:t xml:space="preserve">Pass</x:t>
        </x:is>
      </x:c>
      <x:c r="S8" s="9" t="inlineStr">
        <x:is>
          <x:t xml:space="preserve">True Positive</x:t>
        </x:is>
      </x:c>
      <x:c r="T8" s="9" t="inlineStr">
        <x:is>
          <x:t xml:space="preserve">Yes</x:t>
        </x:is>
      </x:c>
      <x:c r="U8" s="9" t="inlineStr">
        <x:is>
          <x:t xml:space="preserve">No</x:t>
        </x:is>
      </x:c>
      <x:c r="V8" s="9" t="inlineStr">
        <x:is>
          <x:t xml:space="preserve">No</x:t>
        </x:is>
      </x:c>
      <x:c r="W8" s="9" t="inlineStr">
        <x:is>
          <x:t xml:space="preserve">Separated from FR-006 to keep the requirement standalone.</x:t>
        </x:is>
      </x:c>
      <x:c r="X8" s="3" t="str">
        <x:f>IF(COUNTIF(G8:R8,"Fail")&gt;0,"Needs Review","Pass")</x:f>
        <x:v>Needs Review</x:v>
      </x:c>
    </x:row>
    <x:row r="9">
      <x:c r="A9" s="9" t="inlineStr">
        <x:is>
          <x:t xml:space="preserve">FR-008</x:t>
        </x:is>
      </x:c>
      <x:c r="B9" s="9" t="inlineStr">
        <x:is>
          <x:t xml:space="preserve">Student check-in</x:t>
        </x:is>
      </x:c>
      <x:c r="C9" s="10" t="inlineStr">
        <x:is>
          <x:t xml:space="preserve">Functional</x:t>
        </x:is>
      </x:c>
      <x:c r="D9" s="9" t="inlineStr">
        <x:is>
          <x:t xml:space="preserve">Input ¶3</x:t>
        </x:is>
      </x:c>
      <x:c r="E9" s="9" t="inlineStr">
        <x:is>
          <x:t xml:space="preserve">After booking, students need to physically check in when they arrive;</x:t>
        </x:is>
      </x:c>
      <x:c r="F9" s="9" t="inlineStr">
        <x:is>
          <x:t xml:space="preserve">The system shall allow students to check in to a booking when they arrive at the room.</x:t>
        </x:is>
      </x:c>
      <x:c r="G9" s="9" t="inlineStr">
        <x:is>
          <x:t xml:space="preserve">Pass</x:t>
        </x:is>
      </x:c>
      <x:c r="H9" s="9" t="inlineStr">
        <x:is>
          <x:t xml:space="preserve">Pass</x:t>
        </x:is>
      </x:c>
      <x:c r="I9" s="9" t="inlineStr">
        <x:is>
          <x:t xml:space="preserve">Pass</x:t>
        </x:is>
      </x:c>
      <x:c r="J9" s="9" t="inlineStr">
        <x:is>
          <x:t xml:space="preserve">Pass</x:t>
        </x:is>
      </x:c>
      <x:c r="K9" s="9" t="inlineStr">
        <x:is>
          <x:t xml:space="preserve">Fail</x:t>
        </x:is>
      </x:c>
      <x:c r="L9" s="9" t="inlineStr">
        <x:is>
          <x:t xml:space="preserve">Pass</x:t>
        </x:is>
      </x:c>
      <x:c r="M9" s="9" t="inlineStr">
        <x:is>
          <x:t xml:space="preserve">Pass</x:t>
        </x:is>
      </x:c>
      <x:c r="N9" s="9" t="inlineStr">
        <x:is>
          <x:t xml:space="preserve">Pass</x:t>
        </x:is>
      </x:c>
      <x:c r="O9" s="9" t="inlineStr">
        <x:is>
          <x:t xml:space="preserve">Pass</x:t>
        </x:is>
      </x:c>
      <x:c r="P9" s="9" t="inlineStr">
        <x:is>
          <x:t xml:space="preserve">Pass</x:t>
        </x:is>
      </x:c>
      <x:c r="Q9" s="9" t="inlineStr">
        <x:is>
          <x:t xml:space="preserve">Pass</x:t>
        </x:is>
      </x:c>
      <x:c r="R9" s="9" t="inlineStr">
        <x:is>
          <x:t xml:space="preserve">Pass</x:t>
        </x:is>
      </x:c>
      <x:c r="S9" s="9" t="inlineStr">
        <x:is>
          <x:t xml:space="preserve">True Positive</x:t>
        </x:is>
      </x:c>
      <x:c r="T9" s="9" t="inlineStr">
        <x:is>
          <x:t xml:space="preserve">Yes</x:t>
        </x:is>
      </x:c>
      <x:c r="U9" s="9" t="inlineStr">
        <x:is>
          <x:t xml:space="preserve">No</x:t>
        </x:is>
      </x:c>
      <x:c r="V9" s="9" t="inlineStr">
        <x:is>
          <x:t xml:space="preserve">No</x:t>
        </x:is>
      </x:c>
      <x:c r="W9" s="9" t="inlineStr">
        <x:is>
          <x:t xml:space="preserve">Directly stated user action.</x:t>
        </x:is>
      </x:c>
      <x:c r="X9" s="3" t="str">
        <x:f>IF(COUNTIF(G9:R9,"Fail")&gt;0,"Needs Review","Pass")</x:f>
        <x:v>Needs Review</x:v>
      </x:c>
    </x:row>
    <x:row r="10">
      <x:c r="A10" s="9" t="inlineStr">
        <x:is>
          <x:t xml:space="preserve">FR-009</x:t>
        </x:is>
      </x:c>
      <x:c r="B10" s="9" t="inlineStr">
        <x:is>
          <x:t xml:space="preserve">One-click occupancy update</x:t>
        </x:is>
      </x:c>
      <x:c r="C10" s="10" t="inlineStr">
        <x:is>
          <x:t xml:space="preserve">Functional</x:t>
        </x:is>
      </x:c>
      <x:c r="D10" s="9" t="inlineStr">
        <x:is>
          <x:t xml:space="preserve">Input ¶3</x:t>
        </x:is>
      </x:c>
      <x:c r="E10" s="9" t="inlineStr">
        <x:is>
          <x:t xml:space="preserve">a one-click check-in button should update the room status to "Occupied" immediately.</x:t>
        </x:is>
      </x:c>
      <x:c r="F10" s="9" t="inlineStr">
        <x:is>
          <x:t xml:space="preserve">The system shall provide a one-click check-in button that immediately updates the room status to "Occupied".</x:t>
        </x:is>
      </x:c>
      <x:c r="G10" s="9" t="inlineStr">
        <x:is>
          <x:t xml:space="preserve">Pass</x:t>
        </x:is>
      </x:c>
      <x:c r="H10" s="9" t="inlineStr">
        <x:is>
          <x:t xml:space="preserve">Pass</x:t>
        </x:is>
      </x:c>
      <x:c r="I10" s="9" t="inlineStr">
        <x:is>
          <x:t xml:space="preserve">Pass</x:t>
        </x:is>
      </x:c>
      <x:c r="J10" s="9" t="inlineStr">
        <x:is>
          <x:t xml:space="preserve">Pass</x:t>
        </x:is>
      </x:c>
      <x:c r="K10" s="9" t="inlineStr">
        <x:is>
          <x:t xml:space="preserve">Fail</x:t>
        </x:is>
      </x:c>
      <x:c r="L10" s="9" t="inlineStr">
        <x:is>
          <x:t xml:space="preserve">Pass</x:t>
        </x:is>
      </x:c>
      <x:c r="M10" s="9" t="inlineStr">
        <x:is>
          <x:t xml:space="preserve">Pass</x:t>
        </x:is>
      </x:c>
      <x:c r="N10" s="9" t="inlineStr">
        <x:is>
          <x:t xml:space="preserve">Pass</x:t>
        </x:is>
      </x:c>
      <x:c r="O10" s="9" t="inlineStr">
        <x:is>
          <x:t xml:space="preserve">Pass</x:t>
        </x:is>
      </x:c>
      <x:c r="P10" s="9" t="inlineStr">
        <x:is>
          <x:t xml:space="preserve">Pass</x:t>
        </x:is>
      </x:c>
      <x:c r="Q10" s="9" t="inlineStr">
        <x:is>
          <x:t xml:space="preserve">Pass</x:t>
        </x:is>
      </x:c>
      <x:c r="R10" s="9" t="inlineStr">
        <x:is>
          <x:t xml:space="preserve">Pass</x:t>
        </x:is>
      </x:c>
      <x:c r="S10" s="9" t="inlineStr">
        <x:is>
          <x:t xml:space="preserve">True Positive</x:t>
        </x:is>
      </x:c>
      <x:c r="T10" s="9" t="inlineStr">
        <x:is>
          <x:t xml:space="preserve">Yes</x:t>
        </x:is>
      </x:c>
      <x:c r="U10" s="9" t="inlineStr">
        <x:is>
          <x:t xml:space="preserve">No</x:t>
        </x:is>
      </x:c>
      <x:c r="V10" s="9" t="inlineStr">
        <x:is>
          <x:t xml:space="preserve">No</x:t>
        </x:is>
      </x:c>
      <x:c r="W10" s="9" t="inlineStr">
        <x:is>
          <x:t xml:space="preserve">Standalone and explicit.</x:t>
        </x:is>
      </x:c>
      <x:c r="X10" s="3" t="str">
        <x:f>IF(COUNTIF(G10:R10,"Fail")&gt;0,"Needs Review","Pass")</x:f>
        <x:v>Needs Review</x:v>
      </x:c>
    </x:row>
    <x:row r="11">
      <x:c r="A11" s="9" t="inlineStr">
        <x:is>
          <x:t xml:space="preserve">FR-010</x:t>
        </x:is>
      </x:c>
      <x:c r="B11" s="9" t="inlineStr">
        <x:is>
          <x:t xml:space="preserve">Automatic no-show release</x:t>
        </x:is>
      </x:c>
      <x:c r="C11" s="10" t="inlineStr">
        <x:is>
          <x:t xml:space="preserve">Functional</x:t>
        </x:is>
      </x:c>
      <x:c r="D11" s="9" t="inlineStr">
        <x:is>
          <x:t xml:space="preserve">Input ¶3</x:t>
        </x:is>
      </x:c>
      <x:c r="E11" s="9" t="inlineStr">
        <x:is>
          <x:t xml:space="preserve">If a student doesn't check in within 15 minutes of their reservation start time, the booking should be automatically released.</x:t>
        </x:is>
      </x:c>
      <x:c r="F11" s="9" t="inlineStr">
        <x:is>
          <x:t xml:space="preserve">The system shall automatically release a booking if the student does not check in within 15 minutes of the reservation start time.</x:t>
        </x:is>
      </x:c>
      <x:c r="G11" s="9" t="inlineStr">
        <x:is>
          <x:t xml:space="preserve">Pass</x:t>
        </x:is>
      </x:c>
      <x:c r="H11" s="9" t="inlineStr">
        <x:is>
          <x:t xml:space="preserve">Pass</x:t>
        </x:is>
      </x:c>
      <x:c r="I11" s="9" t="inlineStr">
        <x:is>
          <x:t xml:space="preserve">Pass</x:t>
        </x:is>
      </x:c>
      <x:c r="J11" s="9" t="inlineStr">
        <x:is>
          <x:t xml:space="preserve">Pass</x:t>
        </x:is>
      </x:c>
      <x:c r="K11" s="9" t="inlineStr">
        <x:is>
          <x:t xml:space="preserve">Pass</x:t>
        </x:is>
      </x:c>
      <x:c r="L11" s="9" t="inlineStr">
        <x:is>
          <x:t xml:space="preserve">Pass</x:t>
        </x:is>
      </x:c>
      <x:c r="M11" s="9" t="inlineStr">
        <x:is>
          <x:t xml:space="preserve">Pass</x:t>
        </x:is>
      </x:c>
      <x:c r="N11" s="9" t="inlineStr">
        <x:is>
          <x:t xml:space="preserve">Pass</x:t>
        </x:is>
      </x:c>
      <x:c r="O11" s="9" t="inlineStr">
        <x:is>
          <x:t xml:space="preserve">Pass</x:t>
        </x:is>
      </x:c>
      <x:c r="P11" s="9" t="inlineStr">
        <x:is>
          <x:t xml:space="preserve">Pass</x:t>
        </x:is>
      </x:c>
      <x:c r="Q11" s="9" t="inlineStr">
        <x:is>
          <x:t xml:space="preserve">Pass</x:t>
        </x:is>
      </x:c>
      <x:c r="R11" s="9" t="inlineStr">
        <x:is>
          <x:t xml:space="preserve">Pass</x:t>
        </x:is>
      </x:c>
      <x:c r="S11" s="9" t="inlineStr">
        <x:is>
          <x:t xml:space="preserve">True Positive</x:t>
        </x:is>
      </x:c>
      <x:c r="T11" s="9" t="inlineStr">
        <x:is>
          <x:t xml:space="preserve">Yes</x:t>
        </x:is>
      </x:c>
      <x:c r="U11" s="9" t="inlineStr">
        <x:is>
          <x:t xml:space="preserve">No</x:t>
        </x:is>
      </x:c>
      <x:c r="V11" s="9" t="inlineStr">
        <x:is>
          <x:t xml:space="preserve">No</x:t>
        </x:is>
      </x:c>
      <x:c r="W11" s="9" t="inlineStr">
        <x:is>
          <x:t xml:space="preserve">Includes the explicit time condition from the source.</x:t>
        </x:is>
      </x:c>
      <x:c r="X11" s="3" t="str">
        <x:f>IF(COUNTIF(G11:R11,"Fail")&gt;0,"Needs Review","Pass")</x:f>
        <x:v>Pass</x:v>
      </x:c>
    </x:row>
    <x:row r="12">
      <x:c r="A12" s="9" t="inlineStr">
        <x:is>
          <x:t xml:space="preserve">FR-011</x:t>
        </x:is>
      </x:c>
      <x:c r="B12" s="9" t="inlineStr">
        <x:is>
          <x:t xml:space="preserve">Maintenance ticket submission</x:t>
        </x:is>
      </x:c>
      <x:c r="C12" s="10" t="inlineStr">
        <x:is>
          <x:t xml:space="preserve">Functional</x:t>
        </x:is>
      </x:c>
      <x:c r="D12" s="9" t="inlineStr">
        <x:is>
          <x:t xml:space="preserve">Input ¶4</x:t>
        </x:is>
      </x:c>
      <x:c r="E12" s="9" t="inlineStr">
        <x:is>
          <x:t xml:space="preserve">Students should be able to submit maintenance tickets by selecting the room and describing the issue.</x:t>
        </x:is>
      </x:c>
      <x:c r="F12" s="9" t="inlineStr">
        <x:is>
          <x:t xml:space="preserve">The system shall allow students to submit maintenance tickets by selecting a room and describing the issue.</x:t>
        </x:is>
      </x:c>
      <x:c r="G12" s="9" t="inlineStr">
        <x:is>
          <x:t xml:space="preserve">Pass</x:t>
        </x:is>
      </x:c>
      <x:c r="H12" s="9" t="inlineStr">
        <x:is>
          <x:t xml:space="preserve">Pass</x:t>
        </x:is>
      </x:c>
      <x:c r="I12" s="9" t="inlineStr">
        <x:is>
          <x:t xml:space="preserve">Pass</x:t>
        </x:is>
      </x:c>
      <x:c r="J12" s="9" t="inlineStr">
        <x:is>
          <x:t xml:space="preserve">Pass</x:t>
        </x:is>
      </x:c>
      <x:c r="K12" s="9" t="inlineStr">
        <x:is>
          <x:t xml:space="preserve">Fail</x:t>
        </x:is>
      </x:c>
      <x:c r="L12" s="9" t="inlineStr">
        <x:is>
          <x:t xml:space="preserve">Pass</x:t>
        </x:is>
      </x:c>
      <x:c r="M12" s="9" t="inlineStr">
        <x:is>
          <x:t xml:space="preserve">Pass</x:t>
        </x:is>
      </x:c>
      <x:c r="N12" s="9" t="inlineStr">
        <x:is>
          <x:t xml:space="preserve">Pass</x:t>
        </x:is>
      </x:c>
      <x:c r="O12" s="9" t="inlineStr">
        <x:is>
          <x:t xml:space="preserve">Pass</x:t>
        </x:is>
      </x:c>
      <x:c r="P12" s="9" t="inlineStr">
        <x:is>
          <x:t xml:space="preserve">Pass</x:t>
        </x:is>
      </x:c>
      <x:c r="Q12" s="9" t="inlineStr">
        <x:is>
          <x:t xml:space="preserve">Pass</x:t>
        </x:is>
      </x:c>
      <x:c r="R12" s="9" t="inlineStr">
        <x:is>
          <x:t xml:space="preserve">Pass</x:t>
        </x:is>
      </x:c>
      <x:c r="S12" s="9" t="inlineStr">
        <x:is>
          <x:t xml:space="preserve">True Positive</x:t>
        </x:is>
      </x:c>
      <x:c r="T12" s="9" t="inlineStr">
        <x:is>
          <x:t xml:space="preserve">Yes</x:t>
        </x:is>
      </x:c>
      <x:c r="U12" s="9" t="inlineStr">
        <x:is>
          <x:t xml:space="preserve">No</x:t>
        </x:is>
      </x:c>
      <x:c r="V12" s="9" t="inlineStr">
        <x:is>
          <x:t xml:space="preserve">No</x:t>
        </x:is>
      </x:c>
      <x:c r="W12" s="9" t="inlineStr">
        <x:is>
          <x:t xml:space="preserve">Direct feature requirement.</x:t>
        </x:is>
      </x:c>
      <x:c r="X12" s="3" t="str">
        <x:f>IF(COUNTIF(G12:R12,"Fail")&gt;0,"Needs Review","Pass")</x:f>
        <x:v>Needs Review</x:v>
      </x:c>
    </x:row>
    <x:row r="13">
      <x:c r="A13" s="9" t="inlineStr">
        <x:is>
          <x:t xml:space="preserve">FR-012</x:t>
        </x:is>
      </x:c>
      <x:c r="B13" s="9" t="inlineStr">
        <x:is>
          <x:t xml:space="preserve">Maintenance status lifecycle</x:t>
        </x:is>
      </x:c>
      <x:c r="C13" s="10" t="inlineStr">
        <x:is>
          <x:t xml:space="preserve">Functional</x:t>
        </x:is>
      </x:c>
      <x:c r="D13" s="9" t="inlineStr">
        <x:is>
          <x:t xml:space="preserve">Input ¶4</x:t>
        </x:is>
      </x:c>
      <x:c r="E13" s="9" t="inlineStr">
        <x:is>
          <x:t xml:space="preserve">Each ticket should have a status lifecycle — Open, then In Progress, then Resolved —</x:t>
        </x:is>
      </x:c>
      <x:c r="F13" s="9" t="inlineStr">
        <x:is>
          <x:t xml:space="preserve">The system shall maintain each maintenance ticket in one of the following statuses: Open, In Progress, or Resolved.</x:t>
        </x:is>
      </x:c>
      <x:c r="G13" s="9" t="inlineStr">
        <x:is>
          <x:t xml:space="preserve">Pass</x:t>
        </x:is>
      </x:c>
      <x:c r="H13" s="9" t="inlineStr">
        <x:is>
          <x:t xml:space="preserve">Pass</x:t>
        </x:is>
      </x:c>
      <x:c r="I13" s="9" t="inlineStr">
        <x:is>
          <x:t xml:space="preserve">Pass</x:t>
        </x:is>
      </x:c>
      <x:c r="J13" s="9" t="inlineStr">
        <x:is>
          <x:t xml:space="preserve">Pass</x:t>
        </x:is>
      </x:c>
      <x:c r="K13" s="9" t="inlineStr">
        <x:is>
          <x:t xml:space="preserve">Fail</x:t>
        </x:is>
      </x:c>
      <x:c r="L13" s="9" t="inlineStr">
        <x:is>
          <x:t xml:space="preserve">Pass</x:t>
        </x:is>
      </x:c>
      <x:c r="M13" s="9" t="inlineStr">
        <x:is>
          <x:t xml:space="preserve">Pass</x:t>
        </x:is>
      </x:c>
      <x:c r="N13" s="9" t="inlineStr">
        <x:is>
          <x:t xml:space="preserve">Pass</x:t>
        </x:is>
      </x:c>
      <x:c r="O13" s="9" t="inlineStr">
        <x:is>
          <x:t xml:space="preserve">Pass</x:t>
        </x:is>
      </x:c>
      <x:c r="P13" s="9" t="inlineStr">
        <x:is>
          <x:t xml:space="preserve">Pass</x:t>
        </x:is>
      </x:c>
      <x:c r="Q13" s="9" t="inlineStr">
        <x:is>
          <x:t xml:space="preserve">Pass</x:t>
        </x:is>
      </x:c>
      <x:c r="R13" s="9" t="inlineStr">
        <x:is>
          <x:t xml:space="preserve">Pass</x:t>
        </x:is>
      </x:c>
      <x:c r="S13" s="9" t="inlineStr">
        <x:is>
          <x:t xml:space="preserve">True Positive</x:t>
        </x:is>
      </x:c>
      <x:c r="T13" s="9" t="inlineStr">
        <x:is>
          <x:t xml:space="preserve">Yes</x:t>
        </x:is>
      </x:c>
      <x:c r="U13" s="9" t="inlineStr">
        <x:is>
          <x:t xml:space="preserve">No</x:t>
        </x:is>
      </x:c>
      <x:c r="V13" s="9" t="inlineStr">
        <x:is>
          <x:t xml:space="preserve">No</x:t>
        </x:is>
      </x:c>
      <x:c r="W13" s="9" t="inlineStr">
        <x:is>
          <x:t xml:space="preserve">Direct lifecycle requirement.</x:t>
        </x:is>
      </x:c>
      <x:c r="X13" s="3" t="str">
        <x:f>IF(COUNTIF(G13:R13,"Fail")&gt;0,"Needs Review","Pass")</x:f>
        <x:v>Needs Review</x:v>
      </x:c>
    </x:row>
    <x:row r="14">
      <x:c r="A14" s="9" t="inlineStr">
        <x:is>
          <x:t xml:space="preserve">FR-013</x:t>
        </x:is>
      </x:c>
      <x:c r="B14" s="9" t="inlineStr">
        <x:is>
          <x:t xml:space="preserve">Visible ticket history timeline</x:t>
        </x:is>
      </x:c>
      <x:c r="C14" s="10" t="inlineStr">
        <x:is>
          <x:t xml:space="preserve">Functional</x:t>
        </x:is>
      </x:c>
      <x:c r="D14" s="9" t="inlineStr">
        <x:is>
          <x:t xml:space="preserve">Input ¶4</x:t>
        </x:is>
      </x:c>
      <x:c r="E14" s="9" t="inlineStr">
        <x:is>
          <x:t xml:space="preserve">students should be able to track their ticket status with a visible timeline showing the history.</x:t>
        </x:is>
      </x:c>
      <x:c r="F14" s="9" t="inlineStr">
        <x:is>
          <x:t xml:space="preserve">The system shall display a visible timeline showing the status history of each maintenance ticket.</x:t>
        </x:is>
      </x:c>
      <x:c r="G14" s="9" t="inlineStr">
        <x:is>
          <x:t xml:space="preserve">Pass</x:t>
        </x:is>
      </x:c>
      <x:c r="H14" s="9" t="inlineStr">
        <x:is>
          <x:t xml:space="preserve">Pass</x:t>
        </x:is>
      </x:c>
      <x:c r="I14" s="9" t="inlineStr">
        <x:is>
          <x:t xml:space="preserve">Pass</x:t>
        </x:is>
      </x:c>
      <x:c r="J14" s="9" t="inlineStr">
        <x:is>
          <x:t xml:space="preserve">Pass</x:t>
        </x:is>
      </x:c>
      <x:c r="K14" s="9" t="inlineStr">
        <x:is>
          <x:t xml:space="preserve">Fail</x:t>
        </x:is>
      </x:c>
      <x:c r="L14" s="9" t="inlineStr">
        <x:is>
          <x:t xml:space="preserve">Pass</x:t>
        </x:is>
      </x:c>
      <x:c r="M14" s="9" t="inlineStr">
        <x:is>
          <x:t xml:space="preserve">Pass</x:t>
        </x:is>
      </x:c>
      <x:c r="N14" s="9" t="inlineStr">
        <x:is>
          <x:t xml:space="preserve">Pass</x:t>
        </x:is>
      </x:c>
      <x:c r="O14" s="9" t="inlineStr">
        <x:is>
          <x:t xml:space="preserve">Pass</x:t>
        </x:is>
      </x:c>
      <x:c r="P14" s="9" t="inlineStr">
        <x:is>
          <x:t xml:space="preserve">Pass</x:t>
        </x:is>
      </x:c>
      <x:c r="Q14" s="9" t="inlineStr">
        <x:is>
          <x:t xml:space="preserve">Pass</x:t>
        </x:is>
      </x:c>
      <x:c r="R14" s="9" t="inlineStr">
        <x:is>
          <x:t xml:space="preserve">Pass</x:t>
        </x:is>
      </x:c>
      <x:c r="S14" s="9" t="inlineStr">
        <x:is>
          <x:t xml:space="preserve">True Positive</x:t>
        </x:is>
      </x:c>
      <x:c r="T14" s="9" t="inlineStr">
        <x:is>
          <x:t xml:space="preserve">Yes</x:t>
        </x:is>
      </x:c>
      <x:c r="U14" s="9" t="inlineStr">
        <x:is>
          <x:t xml:space="preserve">No</x:t>
        </x:is>
      </x:c>
      <x:c r="V14" s="9" t="inlineStr">
        <x:is>
          <x:t xml:space="preserve">No</x:t>
        </x:is>
      </x:c>
      <x:c r="W14" s="9" t="inlineStr">
        <x:is>
          <x:t xml:space="preserve">Directly traceable to the source text.</x:t>
        </x:is>
      </x:c>
      <x:c r="X14" s="3" t="str">
        <x:f>IF(COUNTIF(G14:R14,"Fail")&gt;0,"Needs Review","Pass")</x:f>
        <x:v>Needs Review</x:v>
      </x:c>
    </x:row>
    <x:row r="15">
      <x:c r="A15" s="9" t="inlineStr">
        <x:is>
          <x:t xml:space="preserve">NFR-001</x:t>
        </x:is>
      </x:c>
      <x:c r="B15" s="9" t="inlineStr">
        <x:is>
          <x:t xml:space="preserve">Room capacity scope</x:t>
        </x:is>
      </x:c>
      <x:c r="C15" s="11" t="inlineStr">
        <x:is>
          <x:t xml:space="preserve">Non-Functional</x:t>
        </x:is>
      </x:c>
      <x:c r="D15" s="9" t="inlineStr">
        <x:is>
          <x:t xml:space="preserve">Input ¶5</x:t>
        </x:is>
      </x:c>
      <x:c r="E15" s="9" t="inlineStr">
        <x:is>
          <x:t xml:space="preserve">The system should handle at least 15 campus rooms</x:t>
        </x:is>
      </x:c>
      <x:c r="F15" s="9" t="inlineStr">
        <x:is>
          <x:t xml:space="preserve">The system shall support at least 15 campus rooms.</x:t>
        </x:is>
      </x:c>
      <x:c r="G15" s="9" t="inlineStr">
        <x:is>
          <x:t xml:space="preserve">Pass</x:t>
        </x:is>
      </x:c>
      <x:c r="H15" s="9" t="inlineStr">
        <x:is>
          <x:t xml:space="preserve">Pass</x:t>
        </x:is>
      </x:c>
      <x:c r="I15" s="9" t="inlineStr">
        <x:is>
          <x:t xml:space="preserve">Pass</x:t>
        </x:is>
      </x:c>
      <x:c r="J15" s="9" t="inlineStr">
        <x:is>
          <x:t xml:space="preserve">Pass</x:t>
        </x:is>
      </x:c>
      <x:c r="K15" s="9" t="inlineStr">
        <x:is>
          <x:t xml:space="preserve">Fail</x:t>
        </x:is>
      </x:c>
      <x:c r="L15" s="9" t="inlineStr">
        <x:is>
          <x:t xml:space="preserve">Pass</x:t>
        </x:is>
      </x:c>
      <x:c r="M15" s="9" t="inlineStr">
        <x:is>
          <x:t xml:space="preserve">Pass</x:t>
        </x:is>
      </x:c>
      <x:c r="N15" s="9" t="inlineStr">
        <x:is>
          <x:t xml:space="preserve">Pass</x:t>
        </x:is>
      </x:c>
      <x:c r="O15" s="9" t="inlineStr">
        <x:is>
          <x:t xml:space="preserve">Pass</x:t>
        </x:is>
      </x:c>
      <x:c r="P15" s="9" t="inlineStr">
        <x:is>
          <x:t xml:space="preserve">Pass</x:t>
        </x:is>
      </x:c>
      <x:c r="Q15" s="9" t="inlineStr">
        <x:is>
          <x:t xml:space="preserve">Pass</x:t>
        </x:is>
      </x:c>
      <x:c r="R15" s="9" t="inlineStr">
        <x:is>
          <x:t xml:space="preserve">Pass</x:t>
        </x:is>
      </x:c>
      <x:c r="S15" s="9" t="inlineStr">
        <x:is>
          <x:t xml:space="preserve">True Positive</x:t>
        </x:is>
      </x:c>
      <x:c r="T15" s="9" t="inlineStr">
        <x:is>
          <x:t xml:space="preserve">Yes</x:t>
        </x:is>
      </x:c>
      <x:c r="U15" s="9" t="inlineStr">
        <x:is>
          <x:t xml:space="preserve">No</x:t>
        </x:is>
      </x:c>
      <x:c r="V15" s="9" t="inlineStr">
        <x:is>
          <x:t xml:space="preserve">No</x:t>
        </x:is>
      </x:c>
      <x:c r="W15" s="9" t="inlineStr">
        <x:is>
          <x:t xml:space="preserve">Capacity constraint from source text.</x:t>
        </x:is>
      </x:c>
      <x:c r="X15" s="3" t="str">
        <x:f>IF(COUNTIF(G15:R15,"Fail")&gt;0,"Needs Review","Pass")</x:f>
        <x:v>Needs Review</x:v>
      </x:c>
    </x:row>
    <x:row r="16">
      <x:c r="A16" s="9" t="inlineStr">
        <x:is>
          <x:t xml:space="preserve">NFR-002</x:t>
        </x:is>
      </x:c>
      <x:c r="B16" s="9" t="inlineStr">
        <x:is>
          <x:t xml:space="preserve">Concurrent user capacity</x:t>
        </x:is>
      </x:c>
      <x:c r="C16" s="11" t="inlineStr">
        <x:is>
          <x:t xml:space="preserve">Non-Functional</x:t>
        </x:is>
      </x:c>
      <x:c r="D16" s="9" t="inlineStr">
        <x:is>
          <x:t xml:space="preserve">Input ¶5</x:t>
        </x:is>
      </x:c>
      <x:c r="E16" s="9" t="inlineStr">
        <x:is>
          <x:t xml:space="preserve">support around 200 concurrent users without noticeable lag.</x:t>
        </x:is>
      </x:c>
      <x:c r="F16" s="9" t="inlineStr">
        <x:is>
          <x:t xml:space="preserve">The system shall support 200 concurrent users during normal operation.</x:t>
        </x:is>
      </x:c>
      <x:c r="G16" s="9" t="inlineStr">
        <x:is>
          <x:t xml:space="preserve">Pass</x:t>
        </x:is>
      </x:c>
      <x:c r="H16" s="9" t="inlineStr">
        <x:is>
          <x:t xml:space="preserve">Pass</x:t>
        </x:is>
      </x:c>
      <x:c r="I16" s="9" t="inlineStr">
        <x:is>
          <x:t xml:space="preserve">Pass</x:t>
        </x:is>
      </x:c>
      <x:c r="J16" s="9" t="inlineStr">
        <x:is>
          <x:t xml:space="preserve">Pass</x:t>
        </x:is>
      </x:c>
      <x:c r="K16" s="9" t="inlineStr">
        <x:is>
          <x:t xml:space="preserve">Fail</x:t>
        </x:is>
      </x:c>
      <x:c r="L16" s="9" t="inlineStr">
        <x:is>
          <x:t xml:space="preserve">Pass</x:t>
        </x:is>
      </x:c>
      <x:c r="M16" s="9" t="inlineStr">
        <x:is>
          <x:t xml:space="preserve">Pass</x:t>
        </x:is>
      </x:c>
      <x:c r="N16" s="9" t="inlineStr">
        <x:is>
          <x:t xml:space="preserve">Pass</x:t>
        </x:is>
      </x:c>
      <x:c r="O16" s="9" t="inlineStr">
        <x:is>
          <x:t xml:space="preserve">Pass</x:t>
        </x:is>
      </x:c>
      <x:c r="P16" s="9" t="inlineStr">
        <x:is>
          <x:t xml:space="preserve">Pass</x:t>
        </x:is>
      </x:c>
      <x:c r="Q16" s="9" t="inlineStr">
        <x:is>
          <x:t xml:space="preserve">Pass</x:t>
        </x:is>
      </x:c>
      <x:c r="R16" s="9" t="inlineStr">
        <x:is>
          <x:t xml:space="preserve">Pass</x:t>
        </x:is>
      </x:c>
      <x:c r="S16" s="9" t="inlineStr">
        <x:is>
          <x:t xml:space="preserve">True Positive</x:t>
        </x:is>
      </x:c>
      <x:c r="T16" s="9" t="inlineStr">
        <x:is>
          <x:t xml:space="preserve">Yes</x:t>
        </x:is>
      </x:c>
      <x:c r="U16" s="9" t="inlineStr">
        <x:is>
          <x:t xml:space="preserve">No</x:t>
        </x:is>
      </x:c>
      <x:c r="V16" s="9" t="inlineStr">
        <x:is>
          <x:t xml:space="preserve">No</x:t>
        </x:is>
      </x:c>
      <x:c r="W16" s="9" t="inlineStr">
        <x:is>
          <x:t xml:space="preserve">Removed the invented 2-second metric from the original workbook.</x:t>
        </x:is>
      </x:c>
      <x:c r="X16" s="3" t="str">
        <x:f>IF(COUNTIF(G16:R16,"Fail")&gt;0,"Needs Review","Pass")</x:f>
        <x:v>Needs Review</x:v>
      </x:c>
    </x:row>
    <x:row r="17">
      <x:c r="A17" s="9" t="inlineStr">
        <x:is>
          <x:t xml:space="preserve">NFR-003</x:t>
        </x:is>
      </x:c>
      <x:c r="B17" s="9" t="inlineStr">
        <x:is>
          <x:t xml:space="preserve">Responsive browser support</x:t>
        </x:is>
      </x:c>
      <x:c r="C17" s="11" t="inlineStr">
        <x:is>
          <x:t xml:space="preserve">Non-Functional</x:t>
        </x:is>
      </x:c>
      <x:c r="D17" s="9" t="inlineStr">
        <x:is>
          <x:t xml:space="preserve">Input ¶5</x:t>
        </x:is>
      </x:c>
      <x:c r="E17" s="9" t="inlineStr">
        <x:is>
          <x:t xml:space="preserve">The web interface must be responsive and work on both desktop and mobile browsers.</x:t>
        </x:is>
      </x:c>
      <x:c r="F17" s="9" t="inlineStr">
        <x:is>
          <x:t xml:space="preserve">The system shall provide a responsive web interface that works on desktop and mobile browsers.</x:t>
        </x:is>
      </x:c>
      <x:c r="G17" s="9" t="inlineStr">
        <x:is>
          <x:t xml:space="preserve">Pass</x:t>
        </x:is>
      </x:c>
      <x:c r="H17" s="9" t="inlineStr">
        <x:is>
          <x:t xml:space="preserve">Pass</x:t>
        </x:is>
      </x:c>
      <x:c r="I17" s="9" t="inlineStr">
        <x:is>
          <x:t xml:space="preserve">Pass</x:t>
        </x:is>
      </x:c>
      <x:c r="J17" s="9" t="inlineStr">
        <x:is>
          <x:t xml:space="preserve">Pass</x:t>
        </x:is>
      </x:c>
      <x:c r="K17" s="9" t="inlineStr">
        <x:is>
          <x:t xml:space="preserve">Fail</x:t>
        </x:is>
      </x:c>
      <x:c r="L17" s="9" t="inlineStr">
        <x:is>
          <x:t xml:space="preserve">Pass</x:t>
        </x:is>
      </x:c>
      <x:c r="M17" s="9" t="inlineStr">
        <x:is>
          <x:t xml:space="preserve">Pass</x:t>
        </x:is>
      </x:c>
      <x:c r="N17" s="9" t="inlineStr">
        <x:is>
          <x:t xml:space="preserve">Pass</x:t>
        </x:is>
      </x:c>
      <x:c r="O17" s="9" t="inlineStr">
        <x:is>
          <x:t xml:space="preserve">Pass</x:t>
        </x:is>
      </x:c>
      <x:c r="P17" s="9" t="inlineStr">
        <x:is>
          <x:t xml:space="preserve">Pass</x:t>
        </x:is>
      </x:c>
      <x:c r="Q17" s="9" t="inlineStr">
        <x:is>
          <x:t xml:space="preserve">Pass</x:t>
        </x:is>
      </x:c>
      <x:c r="R17" s="9" t="inlineStr">
        <x:is>
          <x:t xml:space="preserve">Pass</x:t>
        </x:is>
      </x:c>
      <x:c r="S17" s="9" t="inlineStr">
        <x:is>
          <x:t xml:space="preserve">True Positive</x:t>
        </x:is>
      </x:c>
      <x:c r="T17" s="9" t="inlineStr">
        <x:is>
          <x:t xml:space="preserve">Yes</x:t>
        </x:is>
      </x:c>
      <x:c r="U17" s="9" t="inlineStr">
        <x:is>
          <x:t xml:space="preserve">No</x:t>
        </x:is>
      </x:c>
      <x:c r="V17" s="9" t="inlineStr">
        <x:is>
          <x:t xml:space="preserve">No</x:t>
        </x:is>
      </x:c>
      <x:c r="W17" s="9" t="inlineStr">
        <x:is>
          <x:t xml:space="preserve">Direct usability/platform requirement.</x:t>
        </x:is>
      </x:c>
      <x:c r="X17" s="3" t="str">
        <x:f>IF(COUNTIF(G17:R17,"Fail")&gt;0,"Needs Review","Pass")</x:f>
        <x:v>Needs Review</x:v>
      </x:c>
    </x:row>
    <x:row r="18">
      <x:c r="A18" s="9" t="inlineStr">
        <x:is>
          <x:t xml:space="preserve">NFR-004</x:t>
        </x:is>
      </x:c>
      <x:c r="B18" s="9" t="inlineStr">
        <x:is>
          <x:t xml:space="preserve">Architecture constraint</x:t>
        </x:is>
      </x:c>
      <x:c r="C18" s="11" t="inlineStr">
        <x:is>
          <x:t xml:space="preserve">Non-Functional</x:t>
        </x:is>
      </x:c>
      <x:c r="D18" s="9" t="inlineStr">
        <x:is>
          <x:t xml:space="preserve">Input ¶5</x:t>
        </x:is>
      </x:c>
      <x:c r="E18" s="9" t="inlineStr">
        <x:is>
          <x:t xml:space="preserve">We'd like the whole system built using Object-Oriented Design principles with a BCE (Boundary-Control-Entity) architecture pattern.</x:t>
        </x:is>
      </x:c>
      <x:c r="F18" s="9" t="inlineStr">
        <x:is>
          <x:t xml:space="preserve">The system shall be designed using Object-Oriented Design principles and a BCE (Boundary-Control-Entity) architecture pattern.</x:t>
        </x:is>
      </x:c>
      <x:c r="G18" s="9" t="inlineStr">
        <x:is>
          <x:t xml:space="preserve">Pass</x:t>
        </x:is>
      </x:c>
      <x:c r="H18" s="9" t="inlineStr">
        <x:is>
          <x:t xml:space="preserve">Fail</x:t>
        </x:is>
      </x:c>
      <x:c r="I18" s="9" t="inlineStr">
        <x:is>
          <x:t xml:space="preserve">Pass</x:t>
        </x:is>
      </x:c>
      <x:c r="J18" s="9" t="inlineStr">
        <x:is>
          <x:t xml:space="preserve">Pass</x:t>
        </x:is>
      </x:c>
      <x:c r="K18" s="9" t="inlineStr">
        <x:is>
          <x:t xml:space="preserve">Fail</x:t>
        </x:is>
      </x:c>
      <x:c r="L18" s="9" t="inlineStr">
        <x:is>
          <x:t xml:space="preserve">Pass</x:t>
        </x:is>
      </x:c>
      <x:c r="M18" s="9" t="inlineStr">
        <x:is>
          <x:t xml:space="preserve">Pass</x:t>
        </x:is>
      </x:c>
      <x:c r="N18" s="9" t="inlineStr">
        <x:is>
          <x:t xml:space="preserve">Fail</x:t>
        </x:is>
      </x:c>
      <x:c r="O18" s="9" t="inlineStr">
        <x:is>
          <x:t xml:space="preserve">Pass</x:t>
        </x:is>
      </x:c>
      <x:c r="P18" s="9" t="inlineStr">
        <x:is>
          <x:t xml:space="preserve">Pass</x:t>
        </x:is>
      </x:c>
      <x:c r="Q18" s="9" t="inlineStr">
        <x:is>
          <x:t xml:space="preserve">Pass</x:t>
        </x:is>
      </x:c>
      <x:c r="R18" s="9" t="inlineStr">
        <x:is>
          <x:t xml:space="preserve">Pass</x:t>
        </x:is>
      </x:c>
      <x:c r="S18" s="9" t="inlineStr">
        <x:is>
          <x:t xml:space="preserve">True Positive</x:t>
        </x:is>
      </x:c>
      <x:c r="T18" s="9" t="inlineStr">
        <x:is>
          <x:t xml:space="preserve">Yes</x:t>
        </x:is>
      </x:c>
      <x:c r="U18" s="9" t="inlineStr">
        <x:is>
          <x:t xml:space="preserve">No</x:t>
        </x:is>
      </x:c>
      <x:c r="V18" s="9" t="inlineStr">
        <x:is>
          <x:t xml:space="preserve">No</x:t>
        </x:is>
      </x:c>
      <x:c r="W18" s="9" t="inlineStr">
        <x:is>
          <x:t xml:space="preserve">Explicit design constraint; negotiable risk noted in validation.</x:t>
        </x:is>
      </x:c>
      <x:c r="X18" s="3" t="str">
        <x:f>IF(COUNTIF(G18:R18,"Fail")&gt;0,"Needs Review","Pass")</x:f>
        <x:v>Needs Review</x:v>
      </x:c>
    </x:row>
    <x:row r="19">
      <x:c r="A19" s="9" t="inlineStr">
        <x:is>
          <x:t xml:space="preserve">NFR-005</x:t>
        </x:is>
      </x:c>
      <x:c r="B19" s="9" t="inlineStr">
        <x:is>
          <x:t xml:space="preserve">Availability target</x:t>
        </x:is>
      </x:c>
      <x:c r="C19" s="11" t="inlineStr">
        <x:is>
          <x:t xml:space="preserve">Non-Functional</x:t>
        </x:is>
      </x:c>
      <x:c r="D19" s="9" t="inlineStr">
        <x:is>
          <x:t xml:space="preserve">Input ¶5</x:t>
        </x:is>
      </x:c>
      <x:c r="E19" s="9" t="inlineStr">
        <x:is>
          <x:t xml:space="preserve">The platform should be available 99.5% of the time during the academic semester.</x:t>
        </x:is>
      </x:c>
      <x:c r="F19" s="9" t="inlineStr">
        <x:is>
          <x:t xml:space="preserve">The system shall maintain at least 99.5% availability during the academic semester.</x:t>
        </x:is>
      </x:c>
      <x:c r="G19" s="9" t="inlineStr">
        <x:is>
          <x:t xml:space="preserve">Pass</x:t>
        </x:is>
      </x:c>
      <x:c r="H19" s="9" t="inlineStr">
        <x:is>
          <x:t xml:space="preserve">Pass</x:t>
        </x:is>
      </x:c>
      <x:c r="I19" s="9" t="inlineStr">
        <x:is>
          <x:t xml:space="preserve">Pass</x:t>
        </x:is>
      </x:c>
      <x:c r="J19" s="9" t="inlineStr">
        <x:is>
          <x:t xml:space="preserve">Pass</x:t>
        </x:is>
      </x:c>
      <x:c r="K19" s="9" t="inlineStr">
        <x:is>
          <x:t xml:space="preserve">Pass</x:t>
        </x:is>
      </x:c>
      <x:c r="L19" s="9" t="inlineStr">
        <x:is>
          <x:t xml:space="preserve">Pass</x:t>
        </x:is>
      </x:c>
      <x:c r="M19" s="9" t="inlineStr">
        <x:is>
          <x:t xml:space="preserve">Pass</x:t>
        </x:is>
      </x:c>
      <x:c r="N19" s="9" t="inlineStr">
        <x:is>
          <x:t xml:space="preserve">Pass</x:t>
        </x:is>
      </x:c>
      <x:c r="O19" s="9" t="inlineStr">
        <x:is>
          <x:t xml:space="preserve">Pass</x:t>
        </x:is>
      </x:c>
      <x:c r="P19" s="9" t="inlineStr">
        <x:is>
          <x:t xml:space="preserve">Pass</x:t>
        </x:is>
      </x:c>
      <x:c r="Q19" s="9" t="inlineStr">
        <x:is>
          <x:t xml:space="preserve">Pass</x:t>
        </x:is>
      </x:c>
      <x:c r="R19" s="9" t="inlineStr">
        <x:is>
          <x:t xml:space="preserve">Pass</x:t>
        </x:is>
      </x:c>
      <x:c r="S19" s="9" t="inlineStr">
        <x:is>
          <x:t xml:space="preserve">True Positive</x:t>
        </x:is>
      </x:c>
      <x:c r="T19" s="9" t="inlineStr">
        <x:is>
          <x:t xml:space="preserve">Yes</x:t>
        </x:is>
      </x:c>
      <x:c r="U19" s="9" t="inlineStr">
        <x:is>
          <x:t xml:space="preserve">No</x:t>
        </x:is>
      </x:c>
      <x:c r="V19" s="9" t="inlineStr">
        <x:is>
          <x:t xml:space="preserve">No</x:t>
        </x:is>
      </x:c>
      <x:c r="W19" s="9" t="inlineStr">
        <x:is>
          <x:t xml:space="preserve">Quantified availability target.</x:t>
        </x:is>
      </x:c>
      <x:c r="X19" s="3" t="str">
        <x:f>IF(COUNTIF(G19:R19,"Fail")&gt;0,"Needs Review","Pass")</x:f>
        <x:v>Pass</x:v>
      </x:c>
    </x:row>
  </x:sheetData>
  <x:conditionalFormatting sqref="G2:G19">
    <x:cfRule type="cellIs" dxfId="0" priority="1" operator="equal">
      <x:formula>"Pass"</x:formula>
    </x:cfRule>
    <x:cfRule type="cellIs" dxfId="1" priority="2" operator="equal">
      <x:formula>"Fail"</x:formula>
    </x:cfRule>
  </x:conditionalFormatting>
  <x:conditionalFormatting sqref="H2:H19">
    <x:cfRule type="cellIs" dxfId="0" priority="3" operator="equal">
      <x:formula>"Pass"</x:formula>
    </x:cfRule>
    <x:cfRule type="cellIs" dxfId="1" priority="4" operator="equal">
      <x:formula>"Fail"</x:formula>
    </x:cfRule>
  </x:conditionalFormatting>
  <x:conditionalFormatting sqref="I2:I19">
    <x:cfRule type="cellIs" dxfId="0" priority="5" operator="equal">
      <x:formula>"Pass"</x:formula>
    </x:cfRule>
    <x:cfRule type="cellIs" dxfId="1" priority="6" operator="equal">
      <x:formula>"Fail"</x:formula>
    </x:cfRule>
  </x:conditionalFormatting>
  <x:conditionalFormatting sqref="J2:J19">
    <x:cfRule type="cellIs" dxfId="0" priority="7" operator="equal">
      <x:formula>"Pass"</x:formula>
    </x:cfRule>
    <x:cfRule type="cellIs" dxfId="1" priority="8" operator="equal">
      <x:formula>"Fail"</x:formula>
    </x:cfRule>
  </x:conditionalFormatting>
  <x:conditionalFormatting sqref="K2:K19">
    <x:cfRule type="cellIs" dxfId="0" priority="9" operator="equal">
      <x:formula>"Pass"</x:formula>
    </x:cfRule>
    <x:cfRule type="cellIs" dxfId="1" priority="10" operator="equal">
      <x:formula>"Fail"</x:formula>
    </x:cfRule>
  </x:conditionalFormatting>
  <x:conditionalFormatting sqref="L2:L19">
    <x:cfRule type="cellIs" dxfId="0" priority="11" operator="equal">
      <x:formula>"Pass"</x:formula>
    </x:cfRule>
    <x:cfRule type="cellIs" dxfId="1" priority="12" operator="equal">
      <x:formula>"Fail"</x:formula>
    </x:cfRule>
  </x:conditionalFormatting>
  <x:conditionalFormatting sqref="M2:M19">
    <x:cfRule type="cellIs" dxfId="0" priority="13" operator="equal">
      <x:formula>"Pass"</x:formula>
    </x:cfRule>
    <x:cfRule type="cellIs" dxfId="1" priority="14" operator="equal">
      <x:formula>"Fail"</x:formula>
    </x:cfRule>
  </x:conditionalFormatting>
  <x:conditionalFormatting sqref="N2:N19">
    <x:cfRule type="cellIs" dxfId="0" priority="15" operator="equal">
      <x:formula>"Pass"</x:formula>
    </x:cfRule>
    <x:cfRule type="cellIs" dxfId="1" priority="16" operator="equal">
      <x:formula>"Fail"</x:formula>
    </x:cfRule>
  </x:conditionalFormatting>
  <x:conditionalFormatting sqref="O2:O19">
    <x:cfRule type="cellIs" dxfId="0" priority="17" operator="equal">
      <x:formula>"Pass"</x:formula>
    </x:cfRule>
    <x:cfRule type="cellIs" dxfId="1" priority="18" operator="equal">
      <x:formula>"Fail"</x:formula>
    </x:cfRule>
  </x:conditionalFormatting>
  <x:conditionalFormatting sqref="P2:P19">
    <x:cfRule type="cellIs" dxfId="0" priority="19" operator="equal">
      <x:formula>"Pass"</x:formula>
    </x:cfRule>
    <x:cfRule type="cellIs" dxfId="1" priority="20" operator="equal">
      <x:formula>"Fail"</x:formula>
    </x:cfRule>
  </x:conditionalFormatting>
  <x:conditionalFormatting sqref="Q2:Q19">
    <x:cfRule type="cellIs" dxfId="0" priority="21" operator="equal">
      <x:formula>"Pass"</x:formula>
    </x:cfRule>
    <x:cfRule type="cellIs" dxfId="1" priority="22" operator="equal">
      <x:formula>"Fail"</x:formula>
    </x:cfRule>
  </x:conditionalFormatting>
  <x:conditionalFormatting sqref="R2:R19">
    <x:cfRule type="cellIs" dxfId="0" priority="23" operator="equal">
      <x:formula>"Pass"</x:formula>
    </x:cfRule>
    <x:cfRule type="cellIs" dxfId="1" priority="24" operator="equal">
      <x:formula>"Fail"</x:formula>
    </x:cfRule>
  </x:conditionalFormatting>
  <x:conditionalFormatting sqref="T2:T19">
    <x:cfRule type="cellIs" dxfId="0" priority="25" operator="equal">
      <x:formula>"Yes"</x:formula>
    </x:cfRule>
    <x:cfRule type="cellIs" dxfId="2" priority="26" operator="equal">
      <x:formula>"No"</x:formula>
    </x:cfRule>
  </x:conditionalFormatting>
  <x:conditionalFormatting sqref="U2:U19">
    <x:cfRule type="cellIs" dxfId="3" priority="27" operator="equal">
      <x:formula>"Yes"</x:formula>
    </x:cfRule>
    <x:cfRule type="cellIs" dxfId="2" priority="28" operator="equal">
      <x:formula>"No"</x:formula>
    </x:cfRule>
  </x:conditionalFormatting>
  <x:conditionalFormatting sqref="V2:V19">
    <x:cfRule type="cellIs" dxfId="4" priority="29" operator="equal">
      <x:formula>"Yes"</x:formula>
    </x:cfRule>
    <x:cfRule type="cellIs" dxfId="2" priority="30" operator="equal">
      <x:formula>"No"</x:formula>
    </x:cfRule>
  </x:conditionalFormatting>
  <x:conditionalFormatting sqref="S2:S19">
    <x:cfRule type="cellIs" dxfId="0" priority="31" operator="equal">
      <x:formula>"True Positive"</x:formula>
    </x:cfRule>
  </x:conditionalFormatting>
  <x:pageMargins left="0.7" right="0.7" top="0.75" bottom="0.75" header="0.3" footer="0.3"/>
</x:worksheet>
</file>

<file path=xl/worksheets/sheet4.xml><?xml version="1.0" encoding="utf-8"?>
<x:worksheet xmlns:x="http://schemas.openxmlformats.org/spreadsheetml/2006/main">
  <x:sheetFormatPr baseColWidth="8" defaultRowHeight="15"/>
  <x:cols>
    <x:col min="1" max="1" width="8" customWidth="1"/>
    <x:col min="2" max="2" width="15" customWidth="1"/>
    <x:col min="3" max="3" width="110" customWidth="1"/>
  </x:cols>
  <x:sheetData>
    <x:row r="1">
      <x:c r="A1" s="6" t="inlineStr">
        <x:is>
          <x:t xml:space="preserve">Final Accepted Requirements</x:t>
        </x:is>
      </x:c>
    </x:row>
    <x:row r="3">
      <x:c r="A3" s="8" t="inlineStr">
        <x:is>
          <x:t xml:space="preserve">No.</x:t>
        </x:is>
      </x:c>
      <x:c r="B3" s="8" t="inlineStr">
        <x:is>
          <x:t xml:space="preserve">Requirement ID</x:t>
        </x:is>
      </x:c>
      <x:c r="C3" s="8" t="inlineStr">
        <x:is>
          <x:t xml:space="preserve">Final Requirement Statement</x:t>
        </x:is>
      </x:c>
    </x:row>
    <x:row r="4">
      <x:c r="A4" s="9" t="n">
        <x:v>1</x:v>
      </x:c>
      <x:c r="B4" s="9" t="inlineStr">
        <x:is>
          <x:t xml:space="preserve">FR-001</x:t>
        </x:is>
      </x:c>
      <x:c r="C4" s="9" t="inlineStr">
        <x:is>
          <x:t xml:space="preserve">The system shall provide a centralized system for students to find and book study rooms or labs.</x:t>
        </x:is>
      </x:c>
    </x:row>
    <x:row r="5">
      <x:c r="A5" s="9" t="n">
        <x:v>2</x:v>
      </x:c>
      <x:c r="B5" s="9" t="inlineStr">
        <x:is>
          <x:t xml:space="preserve">FR-002</x:t>
        </x:is>
      </x:c>
      <x:c r="C5" s="9" t="inlineStr">
        <x:is>
          <x:t xml:space="preserve">The system shall authenticate students using their university credentials through a secure login process.</x:t>
        </x:is>
      </x:c>
    </x:row>
    <x:row r="6">
      <x:c r="A6" s="9" t="n">
        <x:v>3</x:v>
      </x:c>
      <x:c r="B6" s="9" t="inlineStr">
        <x:is>
          <x:t xml:space="preserve">FR-003</x:t>
        </x:is>
      </x:c>
      <x:c r="C6" s="9" t="inlineStr">
        <x:is>
          <x:t xml:space="preserve">The system shall hash passwords before storage and shall not store credentials in plain text.</x:t>
        </x:is>
      </x:c>
    </x:row>
    <x:row r="7">
      <x:c r="A7" s="9" t="n">
        <x:v>4</x:v>
      </x:c>
      <x:c r="B7" s="9" t="inlineStr">
        <x:is>
          <x:t xml:space="preserve">FR-004</x:t>
        </x:is>
      </x:c>
      <x:c r="C7" s="9" t="inlineStr">
        <x:is>
          <x:t xml:space="preserve">The system shall allow students to search for available rooms by date, time slot, and minimum seating capacity.</x:t>
        </x:is>
      </x:c>
    </x:row>
    <x:row r="8">
      <x:c r="A8" s="9" t="n">
        <x:v>5</x:v>
      </x:c>
      <x:c r="B8" s="9" t="inlineStr">
        <x:is>
          <x:t xml:space="preserve">FR-005</x:t>
        </x:is>
      </x:c>
      <x:c r="C8" s="9" t="inlineStr">
        <x:is>
          <x:t xml:space="preserve">The system shall return real-time room availability in search results.</x:t>
        </x:is>
      </x:c>
    </x:row>
    <x:row r="9">
      <x:c r="A9" s="9" t="n">
        <x:v>6</x:v>
      </x:c>
      <x:c r="B9" s="9" t="inlineStr">
        <x:is>
          <x:t xml:space="preserve">FR-006</x:t>
        </x:is>
      </x:c>
      <x:c r="C9" s="9" t="inlineStr">
        <x:is>
          <x:t xml:space="preserve">The system shall provide a guided workflow for booking a room.</x:t>
        </x:is>
      </x:c>
    </x:row>
    <x:row r="10">
      <x:c r="A10" s="9" t="n">
        <x:v>7</x:v>
      </x:c>
      <x:c r="B10" s="9" t="inlineStr">
        <x:is>
          <x:t xml:space="preserve">FR-007</x:t>
        </x:is>
      </x:c>
      <x:c r="C10" s="9" t="inlineStr">
        <x:is>
          <x:t xml:space="preserve">The system shall prevent two users from booking the same room for the same time slot.</x:t>
        </x:is>
      </x:c>
    </x:row>
    <x:row r="11">
      <x:c r="A11" s="9" t="n">
        <x:v>8</x:v>
      </x:c>
      <x:c r="B11" s="9" t="inlineStr">
        <x:is>
          <x:t xml:space="preserve">FR-008</x:t>
        </x:is>
      </x:c>
      <x:c r="C11" s="9" t="inlineStr">
        <x:is>
          <x:t xml:space="preserve">The system shall allow students to check in to a booking when they arrive at the room.</x:t>
        </x:is>
      </x:c>
    </x:row>
    <x:row r="12">
      <x:c r="A12" s="9" t="n">
        <x:v>9</x:v>
      </x:c>
      <x:c r="B12" s="9" t="inlineStr">
        <x:is>
          <x:t xml:space="preserve">FR-009</x:t>
        </x:is>
      </x:c>
      <x:c r="C12" s="9" t="inlineStr">
        <x:is>
          <x:t xml:space="preserve">The system shall provide a one-click check-in button that immediately updates the room status to "Occupied".</x:t>
        </x:is>
      </x:c>
    </x:row>
    <x:row r="13">
      <x:c r="A13" s="9" t="n">
        <x:v>10</x:v>
      </x:c>
      <x:c r="B13" s="9" t="inlineStr">
        <x:is>
          <x:t xml:space="preserve">FR-010</x:t>
        </x:is>
      </x:c>
      <x:c r="C13" s="9" t="inlineStr">
        <x:is>
          <x:t xml:space="preserve">The system shall automatically release a booking if the student does not check in within 15 minutes of the reservation start time.</x:t>
        </x:is>
      </x:c>
    </x:row>
    <x:row r="14">
      <x:c r="A14" s="9" t="n">
        <x:v>11</x:v>
      </x:c>
      <x:c r="B14" s="9" t="inlineStr">
        <x:is>
          <x:t xml:space="preserve">FR-011</x:t>
        </x:is>
      </x:c>
      <x:c r="C14" s="9" t="inlineStr">
        <x:is>
          <x:t xml:space="preserve">The system shall allow students to submit maintenance tickets by selecting a room and describing the issue.</x:t>
        </x:is>
      </x:c>
    </x:row>
    <x:row r="15">
      <x:c r="A15" s="9" t="n">
        <x:v>12</x:v>
      </x:c>
      <x:c r="B15" s="9" t="inlineStr">
        <x:is>
          <x:t xml:space="preserve">FR-012</x:t>
        </x:is>
      </x:c>
      <x:c r="C15" s="9" t="inlineStr">
        <x:is>
          <x:t xml:space="preserve">The system shall maintain each maintenance ticket in one of the following statuses: Open, In Progress, or Resolved.</x:t>
        </x:is>
      </x:c>
    </x:row>
    <x:row r="16">
      <x:c r="A16" s="9" t="n">
        <x:v>13</x:v>
      </x:c>
      <x:c r="B16" s="9" t="inlineStr">
        <x:is>
          <x:t xml:space="preserve">FR-013</x:t>
        </x:is>
      </x:c>
      <x:c r="C16" s="9" t="inlineStr">
        <x:is>
          <x:t xml:space="preserve">The system shall display a visible timeline showing the status history of each maintenance ticket.</x:t>
        </x:is>
      </x:c>
    </x:row>
    <x:row r="17">
      <x:c r="A17" s="9" t="n">
        <x:v>14</x:v>
      </x:c>
      <x:c r="B17" s="9" t="inlineStr">
        <x:is>
          <x:t xml:space="preserve">NFR-001</x:t>
        </x:is>
      </x:c>
      <x:c r="C17" s="9" t="inlineStr">
        <x:is>
          <x:t xml:space="preserve">The system shall support at least 15 campus rooms.</x:t>
        </x:is>
      </x:c>
    </x:row>
    <x:row r="18">
      <x:c r="A18" s="9" t="n">
        <x:v>15</x:v>
      </x:c>
      <x:c r="B18" s="9" t="inlineStr">
        <x:is>
          <x:t xml:space="preserve">NFR-002</x:t>
        </x:is>
      </x:c>
      <x:c r="C18" s="9" t="inlineStr">
        <x:is>
          <x:t xml:space="preserve">The system shall support 200 concurrent users during normal operation.</x:t>
        </x:is>
      </x:c>
    </x:row>
    <x:row r="19">
      <x:c r="A19" s="9" t="n">
        <x:v>16</x:v>
      </x:c>
      <x:c r="B19" s="9" t="inlineStr">
        <x:is>
          <x:t xml:space="preserve">NFR-003</x:t>
        </x:is>
      </x:c>
      <x:c r="C19" s="9" t="inlineStr">
        <x:is>
          <x:t xml:space="preserve">The system shall provide a responsive web interface that works on desktop and mobile browsers.</x:t>
        </x:is>
      </x:c>
    </x:row>
    <x:row r="20">
      <x:c r="A20" s="9" t="n">
        <x:v>17</x:v>
      </x:c>
      <x:c r="B20" s="9" t="inlineStr">
        <x:is>
          <x:t xml:space="preserve">NFR-004</x:t>
        </x:is>
      </x:c>
      <x:c r="C20" s="9" t="inlineStr">
        <x:is>
          <x:t xml:space="preserve">The system shall be designed using Object-Oriented Design principles and a BCE (Boundary-Control-Entity) architecture pattern.</x:t>
        </x:is>
      </x:c>
    </x:row>
    <x:row r="21">
      <x:c r="A21" s="9" t="n">
        <x:v>18</x:v>
      </x:c>
      <x:c r="B21" s="9" t="inlineStr">
        <x:is>
          <x:t xml:space="preserve">NFR-005</x:t>
        </x:is>
      </x:c>
      <x:c r="C21" s="9" t="inlineStr">
        <x:is>
          <x:t xml:space="preserve">The system shall maintain at least 99.5% availability during the academic semester.</x:t>
        </x:is>
      </x:c>
    </x:row>
  </x:sheetData>
  <x:mergeCells>
    <x:mergeCell ref="A1:C1"/>
  </x:mergeCells>
  <x:pageMargins left="0.7" right="0.7" top="0.75" bottom="0.75" header="0.3" footer="0.3"/>
</x:worksheet>
</file>

<file path=xl/worksheets/sheet5.xml><?xml version="1.0" encoding="utf-8"?>
<x:worksheet xmlns:x="http://schemas.openxmlformats.org/spreadsheetml/2006/main">
  <x:sheetFormatPr baseColWidth="8" defaultRowHeight="15"/>
  <x:cols>
    <x:col min="1" max="1" width="10" customWidth="1"/>
    <x:col min="2" max="2" width="34" customWidth="1"/>
    <x:col min="3" max="3" width="58" customWidth="1"/>
    <x:col min="4" max="4" width="70" customWidth="1"/>
    <x:col min="5" max="5" width="16" customWidth="1"/>
  </x:cols>
  <x:sheetData>
    <x:row r="1">
      <x:c r="A1" s="16" t="inlineStr">
        <x:is>
          <x:t xml:space="preserve">Implied Requirements / False Negatives</x:t>
        </x:is>
      </x:c>
    </x:row>
    <x:row r="3">
      <x:c r="A3" s="8" t="inlineStr">
        <x:is>
          <x:t xml:space="preserve">ID</x:t>
        </x:is>
      </x:c>
      <x:c r="B3" s="8" t="inlineStr">
        <x:is>
          <x:t xml:space="preserve">Requirement Description</x:t>
        </x:is>
      </x:c>
      <x:c r="C3" s="8" t="inlineStr">
        <x:is>
          <x:t xml:space="preserve">Proposed Missing Requirement</x:t>
        </x:is>
      </x:c>
      <x:c r="D3" s="8" t="inlineStr">
        <x:is>
          <x:t xml:space="preserve">Rationale</x:t>
        </x:is>
      </x:c>
      <x:c r="E3" s="8" t="inlineStr">
        <x:is>
          <x:t xml:space="preserve">Validation Status</x:t>
        </x:is>
      </x:c>
    </x:row>
    <x:row r="4">
      <x:c r="A4" s="9" t="inlineStr">
        <x:is>
          <x:t xml:space="preserve">FN-001</x:t>
        </x:is>
      </x:c>
      <x:c r="B4" s="9" t="inlineStr">
        <x:is>
          <x:t xml:space="preserve">Booking cancellation</x:t>
        </x:is>
      </x:c>
      <x:c r="C4" s="9" t="inlineStr">
        <x:is>
          <x:t xml:space="preserve">The system shall allow a student to cancel an existing booking before its start time.</x:t>
        </x:is>
      </x:c>
      <x:c r="D4" s="9" t="inlineStr">
        <x:is>
          <x:t xml:space="preserve">A booking workflow usually requires cancellation or release by the student, but the source text does not explicitly state that capability.</x:t>
        </x:is>
      </x:c>
      <x:c r="E4" s="9" t="inlineStr">
        <x:is>
          <x:t xml:space="preserve">False Negative</x:t>
        </x:is>
      </x:c>
    </x:row>
    <x:row r="5">
      <x:c r="A5" s="9" t="inlineStr">
        <x:is>
          <x:t xml:space="preserve">FN-002</x:t>
        </x:is>
      </x:c>
      <x:c r="B5" s="9" t="inlineStr">
        <x:is>
          <x:t xml:space="preserve">Facilities-staff maintenance management</x:t>
        </x:is>
      </x:c>
      <x:c r="C5" s="9" t="inlineStr">
        <x:is>
          <x:t xml:space="preserve">The system shall allow authorized facilities staff to update maintenance ticket statuses.</x:t>
        </x:is>
      </x:c>
      <x:c r="D5" s="9" t="inlineStr">
        <x:is>
          <x:t xml:space="preserve">The source defines a ticket lifecycle (Open → In Progress → Resolved), which implies an actor must advance statuses, but that actor and capability are not explicitly stated.</x:t>
        </x:is>
      </x:c>
      <x:c r="E5" s="9" t="inlineStr">
        <x:is>
          <x:t xml:space="preserve">False Negative</x:t>
        </x:is>
      </x:c>
    </x:row>
    <x:row r="6">
      <x:c r="A6" s="9" t="inlineStr">
        <x:is>
          <x:t xml:space="preserve">FN-003</x:t>
        </x:is>
      </x:c>
      <x:c r="B6" s="9" t="inlineStr">
        <x:is>
          <x:t xml:space="preserve">Logout/session termination</x:t>
        </x:is>
      </x:c>
      <x:c r="C6" s="9" t="inlineStr">
        <x:is>
          <x:t xml:space="preserve">The system shall provide a way for a logged-in user to end a session securely.</x:t>
        </x:is>
      </x:c>
      <x:c r="D6" s="9" t="inlineStr">
        <x:is>
          <x:t xml:space="preserve">Secure login is explicit, but session termination/logout is not explicitly stated even though it is commonly needed for secure operation.</x:t>
        </x:is>
      </x:c>
      <x:c r="E6" s="9" t="inlineStr">
        <x:is>
          <x:t xml:space="preserve">False Negative</x:t>
        </x:is>
      </x:c>
    </x:row>
  </x:sheetData>
  <x:mergeCells>
    <x:mergeCell ref="A1:E1"/>
  </x:mergeCells>
  <x:pageMargins left="0.7" right="0.7" top="0.75" bottom="0.75" header="0.3" footer="0.3"/>
</x:worksheet>
</file>

<file path=xl/worksheets/sheet6.xml><?xml version="1.0" encoding="utf-8"?>
<x:worksheet xmlns:x="http://schemas.openxmlformats.org/spreadsheetml/2006/main">
  <x:sheetFormatPr baseColWidth="8" defaultRowHeight="15"/>
  <x:cols>
    <x:col min="1" max="1" width="34" customWidth="1"/>
    <x:col min="2" max="2" width="24" customWidth="1"/>
    <x:col min="3" max="3" width="58" customWidth="1"/>
  </x:cols>
  <x:sheetData>
    <x:row r="1">
      <x:c r="A1" s="6" t="inlineStr">
        <x:is>
          <x:t xml:space="preserve">Validation Summary</x:t>
        </x:is>
      </x:c>
    </x:row>
    <x:row r="3">
      <x:c r="A3" s="8" t="inlineStr">
        <x:is>
          <x:t xml:space="preserve">Metric</x:t>
        </x:is>
      </x:c>
      <x:c r="B3" s="8" t="inlineStr">
        <x:is>
          <x:t xml:space="preserve">Value</x:t>
        </x:is>
      </x:c>
      <x:c r="C3" s="8" t="inlineStr">
        <x:is>
          <x:t xml:space="preserve">Formula / Interpretation</x:t>
        </x:is>
      </x:c>
    </x:row>
    <x:row r="4">
      <x:c r="A4" s="9" t="inlineStr">
        <x:is>
          <x:t xml:space="preserve">Total Accepted Requirements</x:t>
        </x:is>
      </x:c>
      <x:c r="B4" s="9">
        <x:f>COUNTA('3. Accepted Requirements'!A:A)-1</x:f>
        <x:v>18</x:v>
      </x:c>
      <x:c r="C4" s="9" t="inlineStr">
        <x:is>
          <x:t xml:space="preserve">Count of populated requirement IDs on Sheet 3</x:t>
        </x:is>
      </x:c>
    </x:row>
    <x:row r="5">
      <x:c r="A5" s="9" t="inlineStr">
        <x:is>
          <x:t xml:space="preserve">Functional Requirements</x:t>
        </x:is>
      </x:c>
      <x:c r="B5" s="9">
        <x:f>COUNTIF('3. Accepted Requirements'!C:C,"Functional")</x:f>
        <x:v>13</x:v>
      </x:c>
      <x:c r="C5" s="9" t="inlineStr">
        <x:is>
          <x:t xml:space="preserve">Count of functional rows</x:t>
        </x:is>
      </x:c>
    </x:row>
    <x:row r="6">
      <x:c r="A6" s="9" t="inlineStr">
        <x:is>
          <x:t xml:space="preserve">Non-Functional Requirements</x:t>
        </x:is>
      </x:c>
      <x:c r="B6" s="9">
        <x:f>COUNTIF('3. Accepted Requirements'!C:C,"Non-Functional")</x:f>
        <x:v>5</x:v>
      </x:c>
      <x:c r="C6" s="9" t="inlineStr">
        <x:is>
          <x:t xml:space="preserve">Count of non-functional rows</x:t>
        </x:is>
      </x:c>
    </x:row>
    <x:row r="7">
      <x:c r="A7" s="9" t="inlineStr">
        <x:is>
          <x:t xml:space="preserve">True Positives (generated)</x:t>
        </x:is>
      </x:c>
      <x:c r="B7" s="9">
        <x:f>COUNTIF('3. Accepted Requirements'!T:T,"Yes")</x:f>
        <x:v>18</x:v>
      </x:c>
      <x:c r="C7" s="9" t="inlineStr">
        <x:is>
          <x:t xml:space="preserve">Generated requirements directly supported by the source text</x:t>
        </x:is>
      </x:c>
    </x:row>
    <x:row r="8">
      <x:c r="A8" s="9" t="inlineStr">
        <x:is>
          <x:t xml:space="preserve">False Positives (generated)</x:t>
        </x:is>
      </x:c>
      <x:c r="B8" s="9">
        <x:f>COUNTIF('3. Accepted Requirements'!U:U,"Yes")</x:f>
        <x:v>0</x:v>
      </x:c>
      <x:c r="C8" s="9" t="inlineStr">
        <x:is>
          <x:t xml:space="preserve">Generated requirements lacking adequate textual support</x:t>
        </x:is>
      </x:c>
    </x:row>
    <x:row r="9">
      <x:c r="A9" s="9" t="inlineStr">
        <x:is>
          <x:t xml:space="preserve">False Negatives (implied gaps)</x:t>
        </x:is>
      </x:c>
      <x:c r="B9" s="9">
        <x:f>COUNTA('5. False Negatives'!A:A)-2</x:f>
        <x:v>3</x:v>
      </x:c>
      <x:c r="C9" s="9" t="inlineStr">
        <x:is>
          <x:t xml:space="preserve">Implied requirements listed on Sheet 5</x:t>
        </x:is>
      </x:c>
    </x:row>
    <x:row r="10">
      <x:c r="A10" s="9" t="inlineStr">
        <x:is>
          <x:t xml:space="preserve">Precision</x:t>
        </x:is>
      </x:c>
      <x:c r="B10" s="12">
        <x:f>IF(B7+B8=0,"-",B7/(B7+B8))</x:f>
        <x:v>1</x:v>
      </x:c>
      <x:c r="C10" s="9" t="inlineStr">
        <x:is>
          <x:t xml:space="preserve">TP / (TP + FP)</x:t>
        </x:is>
      </x:c>
    </x:row>
    <x:row r="11">
      <x:c r="A11" s="9" t="inlineStr">
        <x:is>
          <x:t xml:space="preserve">Recall incl. implied gaps</x:t>
        </x:is>
      </x:c>
      <x:c r="B11" s="12">
        <x:f>IF(B7+B9=0,"-",B7/(B7+B9))</x:f>
        <x:v>0.8571428571428571</x:v>
      </x:c>
      <x:c r="C11" s="9" t="inlineStr">
        <x:is>
          <x:t xml:space="preserve">TP / (TP + FN)</x:t>
        </x:is>
      </x:c>
    </x:row>
    <x:row r="12">
      <x:c r="A12" s="9" t="inlineStr">
        <x:is>
          <x:t xml:space="preserve">Rows with any failed quality check</x:t>
        </x:is>
      </x:c>
      <x:c r="B12" s="9">
        <x:f>COUNTIF('3. Accepted Requirements'!X:X,"Needs Review")</x:f>
        <x:v>16</x:v>
      </x:c>
      <x:c r="C12" s="9" t="inlineStr">
        <x:is>
          <x:t xml:space="preserve">Counts requirements that contain at least one Fail in SMART/VAN/C3F</x:t>
        </x:is>
      </x:c>
    </x:row>
    <x:row r="13">
      <x:c r="A13" s="13" t="inlineStr">
        <x:is>
          <x:t xml:space="preserve">Interpretation</x:t>
        </x:is>
      </x:c>
      <x:c r="B13" s="9" t="inlineStr">
        <x:is>
          <x:t xml:space="preserve">All generated requirements were revised to remove unsupported details; false negatives are listed separately as implied gaps.</x:t>
        </x:is>
      </x:c>
      <x:c r="C13" s="14" t="n"/>
    </x:row>
  </x:sheetData>
  <x:mergeCells>
    <x:mergeCell ref="A1:C1"/>
    <x:mergeCell ref="B13:C13"/>
  </x:mergeCells>
  <x:pageMargins left="0.7" right="0.7" top="0.75" bottom="0.75" header="0.3" footer="0.3"/>
</x:worksheet>
</file>